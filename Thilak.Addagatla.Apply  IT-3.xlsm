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mass-my.sharepoint.com/personal/taddagatla_umass_edu/Documents/"/>
    </mc:Choice>
  </mc:AlternateContent>
  <xr:revisionPtr revIDLastSave="88" documentId="8_{C5A1C667-1720-40C5-9A70-40AFF85EED7E}" xr6:coauthVersionLast="47" xr6:coauthVersionMax="47" xr10:uidLastSave="{25A53FD1-4109-4C4F-8056-CC593CED9870}"/>
  <bookViews>
    <workbookView xWindow="-120" yWindow="-120" windowWidth="29040" windowHeight="15720" tabRatio="767" firstSheet="1" activeTab="1" xr2:uid="{2F0C41C2-64FB-428D-84ED-90F49444DDBB}"/>
  </bookViews>
  <sheets>
    <sheet name="Part 1-&gt;" sheetId="14" r:id="rId1"/>
    <sheet name="Driving Form" sheetId="15" r:id="rId2"/>
    <sheet name="Driving Itinerary" sheetId="16" r:id="rId3"/>
    <sheet name="Distance Table" sheetId="17" r:id="rId4"/>
    <sheet name="Part 2-&gt;" sheetId="9" r:id="rId5"/>
    <sheet name="Revenue Report" sheetId="5" r:id="rId6"/>
    <sheet name="Region Report" sheetId="10" r:id="rId7"/>
    <sheet name="Hospital Sales" sheetId="13" r:id="rId8"/>
    <sheet name="Sales Commissions" sheetId="12" r:id="rId9"/>
    <sheet name="Tables and Measures" sheetId="8" r:id="rId10"/>
  </sheets>
  <definedNames>
    <definedName name="_xlcn.WorksheetConnection_NP_EX_11_Alcmaeon.xlsxAgents1" hidden="1">Agents</definedName>
    <definedName name="_xlcn.WorksheetConnection_NP_EX_11_Alcmaeon.xlsxHospitals1" hidden="1">Hospitals</definedName>
    <definedName name="_xlcn.WorksheetConnection_NP_EX_11_Alcmaeon.xlsxProducts1" hidden="1">Products</definedName>
    <definedName name="_xlcn.WorksheetConnection_NP_EX_11_Alcmaeon.xlsxSales1" hidden="1">Sales</definedName>
    <definedName name="cities">'Distance Table'!$B$5:$B$31</definedName>
    <definedName name="dist">'Driving Itinerary'!$C$4</definedName>
    <definedName name="distance_table">'Distance Table'!$B$4:$AC$31</definedName>
    <definedName name="travel_end">'Driving Itinerary'!$B$12</definedName>
  </definedNames>
  <calcPr calcId="191029"/>
  <pivotCaches>
    <pivotCache cacheId="187" r:id="rId11"/>
    <pivotCache cacheId="190" r:id="rId12"/>
    <pivotCache cacheId="193" r:id="rId13"/>
    <pivotCache cacheId="199" r:id="rId1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ales" name="Sales" connection="WorksheetConnection_NP_EX_11_Alcmaeon.xlsx!Sales"/>
          <x15:modelTable id="Products" name="Products" connection="WorksheetConnection_NP_EX_11_Alcmaeon.xlsx!Products"/>
          <x15:modelTable id="Hospitals" name="Hospitals" connection="WorksheetConnection_NP_EX_11_Alcmaeon.xlsx!Hospitals"/>
          <x15:modelTable id="Agents" name="Agents" connection="WorksheetConnection_NP_EX_11_Alcmaeon.xlsx!Agents"/>
        </x15:modelTables>
        <x15:modelRelationships>
          <x15:modelRelationship fromTable="Sales" fromColumn="Product" toTable="Products" toColumn="Product"/>
          <x15:modelRelationship fromTable="Sales" fromColumn="Hospital" toTable="Hospitals" toColumn="Hospital"/>
          <x15:modelRelationship fromTable="Sales" fromColumn="Agent" toTable="Agents" toColumn="Agent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Sales" columnName="Date" columnId="Date"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5" l="1"/>
  <c r="F6" i="15" a="1"/>
  <c r="F6" i="15" s="1"/>
  <c r="C4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Susan Boyer</author>
  </authors>
  <commentList>
    <comment ref="B2" authorId="0" shapeId="0" xr:uid="{8071D3B2-C781-4C97-8D17-7A7EBA183B3C}">
      <text>
        <r>
          <rPr>
            <sz val="9"/>
            <color indexed="81"/>
            <rFont val="Tahoma"/>
            <family val="2"/>
          </rPr>
          <t xml:space="preserve">To print, click on the print icon or use Ctrl + P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3AF9A66-47EF-460D-B6AB-060FE90D4EFD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8D5D86E-D7DF-41EE-BB07-1515DF63D16F}" name="WorksheetConnection_NP_EX_11_Alcmaeon.xlsx!Agents" type="102" refreshedVersion="6" minRefreshableVersion="5">
    <extLst>
      <ext xmlns:x15="http://schemas.microsoft.com/office/spreadsheetml/2010/11/main" uri="{DE250136-89BD-433C-8126-D09CA5730AF9}">
        <x15:connection id="Agents">
          <x15:rangePr sourceName="_xlcn.WorksheetConnection_NP_EX_11_Alcmaeon.xlsxAgents1"/>
        </x15:connection>
      </ext>
    </extLst>
  </connection>
  <connection id="3" xr16:uid="{560695E5-5796-4633-97E9-CE9231C6343E}" name="WorksheetConnection_NP_EX_11_Alcmaeon.xlsx!Hospitals" type="102" refreshedVersion="6" minRefreshableVersion="5">
    <extLst>
      <ext xmlns:x15="http://schemas.microsoft.com/office/spreadsheetml/2010/11/main" uri="{DE250136-89BD-433C-8126-D09CA5730AF9}">
        <x15:connection id="Hospitals">
          <x15:rangePr sourceName="_xlcn.WorksheetConnection_NP_EX_11_Alcmaeon.xlsxHospitals1"/>
        </x15:connection>
      </ext>
    </extLst>
  </connection>
  <connection id="4" xr16:uid="{A743E806-B8AA-4BAA-85E3-BA7D4003FD5A}" name="WorksheetConnection_NP_EX_11_Alcmaeon.xlsx!Products" type="102" refreshedVersion="6" minRefreshableVersion="5">
    <extLst>
      <ext xmlns:x15="http://schemas.microsoft.com/office/spreadsheetml/2010/11/main" uri="{DE250136-89BD-433C-8126-D09CA5730AF9}">
        <x15:connection id="Products">
          <x15:rangePr sourceName="_xlcn.WorksheetConnection_NP_EX_11_Alcmaeon.xlsxProducts1"/>
        </x15:connection>
      </ext>
    </extLst>
  </connection>
  <connection id="5" xr16:uid="{C90E1472-BE4E-42D6-B874-2D05B9199554}" name="WorksheetConnection_NP_EX_11_Alcmaeon.xlsx!Sales" type="102" refreshedVersion="6" minRefreshableVersion="5">
    <extLst>
      <ext xmlns:x15="http://schemas.microsoft.com/office/spreadsheetml/2010/11/main" uri="{DE250136-89BD-433C-8126-D09CA5730AF9}">
        <x15:connection id="Sales">
          <x15:rangePr sourceName="_xlcn.WorksheetConnection_NP_EX_11_Alcmaeon.xlsxSale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<sst xmlns="http://schemas.openxmlformats.org/spreadsheetml/2006/main" count="360" uniqueCount="159">
  <si>
    <t>Date</t>
  </si>
  <si>
    <t>Units Sold</t>
  </si>
  <si>
    <t>Revenue</t>
  </si>
  <si>
    <t>Hospital</t>
  </si>
  <si>
    <t>Product</t>
  </si>
  <si>
    <t>Sales Region</t>
  </si>
  <si>
    <t>Name</t>
  </si>
  <si>
    <t>Base Salary</t>
  </si>
  <si>
    <t>Sales Minimum</t>
  </si>
  <si>
    <t>Commission </t>
  </si>
  <si>
    <t>Hospital Name</t>
  </si>
  <si>
    <t>Region</t>
  </si>
  <si>
    <t>Street</t>
  </si>
  <si>
    <t>City</t>
  </si>
  <si>
    <t>State</t>
  </si>
  <si>
    <t>Postal Code</t>
  </si>
  <si>
    <t>Phone</t>
  </si>
  <si>
    <t>Agent</t>
  </si>
  <si>
    <t>Product Name</t>
  </si>
  <si>
    <t>Product Description</t>
  </si>
  <si>
    <t>Field</t>
  </si>
  <si>
    <t>Data Type</t>
  </si>
  <si>
    <t>Notes</t>
  </si>
  <si>
    <t>text</t>
  </si>
  <si>
    <t>Contact phone number</t>
  </si>
  <si>
    <t>number</t>
  </si>
  <si>
    <t>date</t>
  </si>
  <si>
    <t>currency</t>
  </si>
  <si>
    <t>Tables and Measures</t>
  </si>
  <si>
    <t>Hospitals Table</t>
  </si>
  <si>
    <t>Hospital ID</t>
  </si>
  <si>
    <t>Name of hospital</t>
  </si>
  <si>
    <t>Sales region</t>
  </si>
  <si>
    <t>Street address</t>
  </si>
  <si>
    <t>Postal code</t>
  </si>
  <si>
    <t>Sales Table</t>
  </si>
  <si>
    <t>Date of sale</t>
  </si>
  <si>
    <t>Sales agent ID</t>
  </si>
  <si>
    <t>Software product ID</t>
  </si>
  <si>
    <t>Software licenses sold to hospital</t>
  </si>
  <si>
    <t>Revenue generated by the sale</t>
  </si>
  <si>
    <t>Agents Table</t>
  </si>
  <si>
    <t>Sales agent region</t>
  </si>
  <si>
    <t>Name of sales agent</t>
  </si>
  <si>
    <t>Base salary before commissions</t>
  </si>
  <si>
    <t>Minimum revenue to generate commissions</t>
  </si>
  <si>
    <t>Commision rate</t>
  </si>
  <si>
    <t>Products Table</t>
  </si>
  <si>
    <t>Name of software product</t>
  </si>
  <si>
    <t>Description of software product</t>
  </si>
  <si>
    <t>Measure Name</t>
  </si>
  <si>
    <t>Purpose</t>
  </si>
  <si>
    <t>Revenue Report</t>
  </si>
  <si>
    <t>Region Report</t>
  </si>
  <si>
    <t>Sales Commissions</t>
  </si>
  <si>
    <t>Earned Commission</t>
  </si>
  <si>
    <t>Total Compensation</t>
  </si>
  <si>
    <t>Hospital Sales</t>
  </si>
  <si>
    <t xml:space="preserve">Commission earned by revenue generated above a minimum amount </t>
  </si>
  <si>
    <t>Total compensation from base salary and earned commission</t>
  </si>
  <si>
    <t>Measures for the Sales table</t>
  </si>
  <si>
    <t>Talcma</t>
  </si>
  <si>
    <t>Milwaukee Cheese</t>
  </si>
  <si>
    <t>To enter legs of a driving itinerary for drivers of Milwaukee Cheese products</t>
  </si>
  <si>
    <t>Range Names used in this Application</t>
  </si>
  <si>
    <t>cities</t>
  </si>
  <si>
    <t>Distance Table'!$B$5:$B$31</t>
  </si>
  <si>
    <t>List of cities with Milwaukee Cheese distribution centers</t>
  </si>
  <si>
    <t>dist</t>
  </si>
  <si>
    <t>Driving Itinerary'!$C$4</t>
  </si>
  <si>
    <t>Total distance traveled by all legs in the itinerary</t>
  </si>
  <si>
    <t>distance_table</t>
  </si>
  <si>
    <t>Distance Table'!$B$4:$AC$31</t>
  </si>
  <si>
    <t>Table of distances between all 27 cities</t>
  </si>
  <si>
    <t>travel_end</t>
  </si>
  <si>
    <t>Driving Itinerary'!$B$7:$B$7</t>
  </si>
  <si>
    <t>Last cell marking the bottom of the itinerary table</t>
  </si>
  <si>
    <t>Driving Entry Form</t>
  </si>
  <si>
    <t>Enter Proposed Leg</t>
  </si>
  <si>
    <t>Leg</t>
  </si>
  <si>
    <t>Starting City</t>
  </si>
  <si>
    <t>Ending City</t>
  </si>
  <si>
    <t>Distance</t>
  </si>
  <si>
    <t>Appleton</t>
  </si>
  <si>
    <t>Beloit</t>
  </si>
  <si>
    <t>Brookfield</t>
  </si>
  <si>
    <t>Delafield</t>
  </si>
  <si>
    <t>Eau Claire</t>
  </si>
  <si>
    <t>Fond du Lac</t>
  </si>
  <si>
    <t>Fort Atkinson</t>
  </si>
  <si>
    <t>Green Bay</t>
  </si>
  <si>
    <t>Kenosha</t>
  </si>
  <si>
    <t>La Crosse</t>
  </si>
  <si>
    <t>Lake Geneva</t>
  </si>
  <si>
    <t>Madison</t>
  </si>
  <si>
    <t>Marshfield</t>
  </si>
  <si>
    <t>Merrill</t>
  </si>
  <si>
    <t>Milwaukee</t>
  </si>
  <si>
    <t>Mineral Point</t>
  </si>
  <si>
    <t>Monroe</t>
  </si>
  <si>
    <t>Neenah</t>
  </si>
  <si>
    <t>Oconomowoc</t>
  </si>
  <si>
    <t>Oshkosh</t>
  </si>
  <si>
    <t>Platteville</t>
  </si>
  <si>
    <t>Portage</t>
  </si>
  <si>
    <t>Racine</t>
  </si>
  <si>
    <t>Sheboygan</t>
  </si>
  <si>
    <t>Sturgeon Bay</t>
  </si>
  <si>
    <t>West Allis</t>
  </si>
  <si>
    <t>Whitewater</t>
  </si>
  <si>
    <t>Driving Itinerary</t>
  </si>
  <si>
    <t>Total Distance</t>
  </si>
  <si>
    <t>miles</t>
  </si>
  <si>
    <t>Travel End</t>
  </si>
  <si>
    <t>Distances between Warehouses</t>
  </si>
  <si>
    <t xml:space="preserve"> </t>
  </si>
  <si>
    <t>Analyze software sales made to hospitals and clinics in 2021</t>
  </si>
  <si>
    <t>Grand Total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</si>
  <si>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</si>
  <si>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</si>
  <si>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</si>
  <si>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</si>
  <si>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</si>
  <si>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</si>
  <si>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</si>
  <si>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</si>
  <si>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</si>
  <si>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</si>
  <si>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</si>
  <si>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</si>
  <si>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Sum of Revenue</t>
  </si>
  <si>
    <t>Rank</t>
  </si>
  <si>
    <t>Total Revenue</t>
  </si>
  <si>
    <t>Running Total</t>
  </si>
  <si>
    <t>Percentage</t>
  </si>
  <si>
    <t>Date (Month)</t>
  </si>
  <si>
    <t>Midwest</t>
  </si>
  <si>
    <t>Northeast</t>
  </si>
  <si>
    <t>Southeast</t>
  </si>
  <si>
    <t>Southwest</t>
  </si>
  <si>
    <t>West</t>
  </si>
  <si>
    <t>Brandi Hernandez</t>
  </si>
  <si>
    <t>Christopher Stoddard</t>
  </si>
  <si>
    <t>Marie Flanagan</t>
  </si>
  <si>
    <t>James Magallon</t>
  </si>
  <si>
    <t>Rose Lewis</t>
  </si>
  <si>
    <t>Wayne Manning</t>
  </si>
  <si>
    <t>Maude Brown</t>
  </si>
  <si>
    <t>Sandra Butters</t>
  </si>
  <si>
    <t>Shirley Vitela</t>
  </si>
  <si>
    <t>Andrew West</t>
  </si>
  <si>
    <t>Herbert Collins</t>
  </si>
  <si>
    <t>Jessica West</t>
  </si>
  <si>
    <t>Retha Cain</t>
  </si>
  <si>
    <t>Tam Wu</t>
  </si>
  <si>
    <t>Teresa Johnson</t>
  </si>
  <si>
    <t>Clients</t>
  </si>
  <si>
    <t>Commission Rate</t>
  </si>
  <si>
    <t>Revenue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</si>
</sst>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\$#,##0;\(\$#,##0\);\$#,##0"/>
    <numFmt numFmtId="165" formatCode="0.00%;\-0.00%;0.00%"/>
  </numFmts>
  <fonts count="18" x14ac:knownFonts="1">
    <font>
      <sz val="11"/>
      <color theme="1"/>
      <name val="Gill Sans MT"/>
      <family val="2"/>
      <scheme val="minor"/>
    </font>
    <font>
      <sz val="18"/>
      <color theme="3"/>
      <name val="Impact"/>
      <family val="2"/>
      <scheme val="major"/>
    </font>
    <font>
      <sz val="11"/>
      <color theme="0"/>
      <name val="Gill Sans MT"/>
      <family val="2"/>
      <scheme val="minor"/>
    </font>
    <font>
      <sz val="14"/>
      <color theme="9" tint="-0.249977111117893"/>
      <name val="Gill Sans MT"/>
      <family val="2"/>
      <scheme val="minor"/>
    </font>
    <font>
      <i/>
      <sz val="11"/>
      <color theme="9" tint="-0.499984740745262"/>
      <name val="Gill Sans MT"/>
      <family val="2"/>
      <scheme val="minor"/>
    </font>
    <font>
      <sz val="11"/>
      <color theme="9" tint="-0.499984740745262"/>
      <name val="Gill Sans MT"/>
      <family val="2"/>
      <scheme val="minor"/>
    </font>
    <font>
      <sz val="28"/>
      <color theme="9"/>
      <name val="Aharoni"/>
      <charset val="177"/>
    </font>
    <font>
      <sz val="11"/>
      <color theme="1"/>
      <name val="Gill Sans MT"/>
      <family val="2"/>
      <scheme val="minor"/>
    </font>
    <font>
      <sz val="20"/>
      <color theme="9"/>
      <name val="Georgia Pro Black"/>
      <family val="1"/>
    </font>
    <font>
      <sz val="11"/>
      <color theme="9" tint="-0.249977111117893"/>
      <name val="Gill Sans MT"/>
      <family val="2"/>
      <scheme val="minor"/>
    </font>
    <font>
      <sz val="18"/>
      <color theme="9"/>
      <name val="Georgia Pro Black"/>
      <family val="1"/>
    </font>
    <font>
      <sz val="14"/>
      <color theme="9"/>
      <name val="Gill Sans MT"/>
      <family val="2"/>
      <scheme val="minor"/>
    </font>
    <font>
      <b/>
      <sz val="11"/>
      <color theme="9" tint="-0.249977111117893"/>
      <name val="Gill Sans MT"/>
      <family val="2"/>
      <scheme val="minor"/>
    </font>
    <font>
      <sz val="11"/>
      <color theme="2" tint="-9.9978637043366805E-2"/>
      <name val="Gill Sans MT"/>
      <family val="2"/>
      <scheme val="minor"/>
    </font>
    <font>
      <sz val="11"/>
      <color theme="9"/>
      <name val="Gill Sans MT"/>
      <family val="2"/>
      <scheme val="minor"/>
    </font>
    <font>
      <i/>
      <sz val="11"/>
      <color theme="9" tint="-0.249977111117893"/>
      <name val="Gill Sans MT"/>
      <family val="2"/>
      <scheme val="minor"/>
    </font>
    <font>
      <sz val="9"/>
      <color indexed="81"/>
      <name val="Tahoma"/>
      <family val="2"/>
    </font>
    <font>
      <sz val="11"/>
      <color rgb="FF000000"/>
      <name val="Gill Sans MT"/>
      <family val="2"/>
    </font>
  </fonts>
  <fills count="13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/>
      <right/>
      <top style="thin">
        <color theme="9"/>
      </top>
      <bottom style="thin">
        <color indexed="64"/>
      </bottom>
      <diagonal/>
    </border>
    <border>
      <left/>
      <right/>
      <top/>
      <bottom style="double">
        <color theme="9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indexed="64"/>
      </left>
      <right/>
      <top/>
      <bottom/>
      <diagonal/>
    </border>
  </borders>
  <cellStyleXfs count="8">
    <xf numFmtId="0" fontId="0" fillId="0" borderId="0"/>
    <xf numFmtId="0" fontId="1" fillId="0" borderId="0" applyNumberFormat="0" applyFill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7" fillId="6" borderId="0" applyNumberFormat="0" applyBorder="0" applyAlignment="0" applyProtection="0"/>
    <xf numFmtId="0" fontId="2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</cellStyleXfs>
  <cellXfs count="56">
    <xf numFmtId="0" fontId="0" fillId="0" borderId="0" xfId="0"/>
    <xf numFmtId="0" fontId="3" fillId="0" borderId="0" xfId="0" applyFont="1"/>
    <xf numFmtId="0" fontId="4" fillId="0" borderId="0" xfId="0" applyFont="1"/>
    <xf numFmtId="0" fontId="2" fillId="3" borderId="1" xfId="3" applyBorder="1" applyAlignment="1">
      <alignment horizontal="left" vertical="top" wrapText="1"/>
    </xf>
    <xf numFmtId="0" fontId="0" fillId="4" borderId="1" xfId="0" applyFill="1" applyBorder="1" applyAlignment="1">
      <alignment horizontal="left" vertical="top"/>
    </xf>
    <xf numFmtId="0" fontId="0" fillId="0" borderId="1" xfId="0" applyBorder="1" applyAlignment="1">
      <alignment horizontal="center" vertical="top" wrapText="1"/>
    </xf>
    <xf numFmtId="0" fontId="0" fillId="0" borderId="1" xfId="0" applyBorder="1" applyAlignment="1">
      <alignment horizontal="left" vertical="top" wrapText="1"/>
    </xf>
    <xf numFmtId="0" fontId="2" fillId="5" borderId="1" xfId="2" applyFill="1" applyBorder="1" applyAlignment="1">
      <alignment horizontal="left" vertical="top"/>
    </xf>
    <xf numFmtId="0" fontId="5" fillId="0" borderId="1" xfId="0" applyFont="1" applyBorder="1" applyAlignment="1">
      <alignment horizontal="left" vertical="top" wrapText="1"/>
    </xf>
    <xf numFmtId="0" fontId="6" fillId="0" borderId="0" xfId="1" applyFont="1"/>
    <xf numFmtId="0" fontId="8" fillId="0" borderId="0" xfId="0" applyFont="1"/>
    <xf numFmtId="0" fontId="0" fillId="10" borderId="1" xfId="0" applyFill="1" applyBorder="1" applyAlignment="1">
      <alignment vertical="top" wrapText="1"/>
    </xf>
    <xf numFmtId="0" fontId="0" fillId="0" borderId="1" xfId="0" quotePrefix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10" fillId="11" borderId="0" xfId="0" applyFont="1" applyFill="1"/>
    <xf numFmtId="0" fontId="0" fillId="11" borderId="0" xfId="0" applyFill="1"/>
    <xf numFmtId="0" fontId="11" fillId="11" borderId="0" xfId="0" applyFont="1" applyFill="1"/>
    <xf numFmtId="0" fontId="0" fillId="10" borderId="2" xfId="0" applyFill="1" applyBorder="1"/>
    <xf numFmtId="0" fontId="11" fillId="10" borderId="3" xfId="0" applyFont="1" applyFill="1" applyBorder="1"/>
    <xf numFmtId="0" fontId="0" fillId="10" borderId="3" xfId="0" applyFill="1" applyBorder="1"/>
    <xf numFmtId="0" fontId="0" fillId="10" borderId="4" xfId="0" applyFill="1" applyBorder="1"/>
    <xf numFmtId="0" fontId="0" fillId="10" borderId="5" xfId="0" applyFill="1" applyBorder="1"/>
    <xf numFmtId="0" fontId="2" fillId="7" borderId="1" xfId="5" applyBorder="1" applyAlignment="1">
      <alignment horizontal="center"/>
    </xf>
    <xf numFmtId="0" fontId="0" fillId="10" borderId="6" xfId="0" applyFill="1" applyBorder="1"/>
    <xf numFmtId="0" fontId="0" fillId="11" borderId="1" xfId="0" applyFill="1" applyBorder="1"/>
    <xf numFmtId="0" fontId="0" fillId="10" borderId="0" xfId="0" applyFill="1"/>
    <xf numFmtId="0" fontId="0" fillId="10" borderId="7" xfId="0" applyFill="1" applyBorder="1"/>
    <xf numFmtId="0" fontId="0" fillId="10" borderId="8" xfId="0" applyFill="1" applyBorder="1"/>
    <xf numFmtId="0" fontId="0" fillId="10" borderId="9" xfId="0" applyFill="1" applyBorder="1"/>
    <xf numFmtId="0" fontId="13" fillId="5" borderId="1" xfId="6" applyFont="1" applyFill="1" applyBorder="1"/>
    <xf numFmtId="0" fontId="14" fillId="10" borderId="1" xfId="0" applyFont="1" applyFill="1" applyBorder="1" applyAlignment="1">
      <alignment horizontal="left"/>
    </xf>
    <xf numFmtId="0" fontId="14" fillId="0" borderId="0" xfId="0" applyFont="1"/>
    <xf numFmtId="0" fontId="12" fillId="0" borderId="10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5" fillId="0" borderId="11" xfId="0" applyFont="1" applyBorder="1"/>
    <xf numFmtId="0" fontId="9" fillId="0" borderId="11" xfId="0" applyFont="1" applyBorder="1"/>
    <xf numFmtId="0" fontId="10" fillId="0" borderId="0" xfId="0" applyFont="1"/>
    <xf numFmtId="0" fontId="11" fillId="0" borderId="0" xfId="0" applyFont="1"/>
    <xf numFmtId="0" fontId="0" fillId="0" borderId="12" xfId="0" applyBorder="1"/>
    <xf numFmtId="0" fontId="7" fillId="9" borderId="12" xfId="7" applyBorder="1" applyAlignment="1">
      <alignment horizontal="center"/>
    </xf>
    <xf numFmtId="0" fontId="7" fillId="9" borderId="12" xfId="7" applyBorder="1" applyAlignment="1" applyProtection="1">
      <alignment horizontal="center"/>
      <protection locked="0"/>
    </xf>
    <xf numFmtId="0" fontId="7" fillId="9" borderId="12" xfId="7" applyBorder="1"/>
    <xf numFmtId="0" fontId="0" fillId="0" borderId="12" xfId="0" applyBorder="1" applyProtection="1">
      <protection locked="0"/>
    </xf>
    <xf numFmtId="0" fontId="7" fillId="9" borderId="12" xfId="7" applyBorder="1" applyProtection="1">
      <protection locked="0"/>
    </xf>
    <xf numFmtId="0" fontId="7" fillId="12" borderId="1" xfId="7" applyFill="1" applyBorder="1" applyAlignment="1">
      <alignment horizontal="center" vertical="center"/>
    </xf>
    <xf numFmtId="0" fontId="9" fillId="0" borderId="1" xfId="0" applyFont="1" applyBorder="1" applyAlignment="1">
      <alignment horizontal="left"/>
    </xf>
    <xf numFmtId="0" fontId="7" fillId="6" borderId="1" xfId="4" applyBorder="1" applyAlignment="1">
      <alignment horizontal="center"/>
    </xf>
    <xf numFmtId="0" fontId="0" fillId="0" borderId="1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11" fillId="0" borderId="0" xfId="0" applyFont="1"/>
    <xf numFmtId="0" fontId="0" fillId="0" borderId="0" xfId="0" pivotButton="1"/>
    <xf numFmtId="164" fontId="0" fillId="0" borderId="0" xfId="0" applyNumberFormat="1"/>
    <xf numFmtId="0" fontId="0" fillId="0" borderId="0" xfId="0" applyNumberFormat="1"/>
    <xf numFmtId="10" fontId="0" fillId="0" borderId="0" xfId="0" applyNumberFormat="1"/>
    <xf numFmtId="165" fontId="0" fillId="0" borderId="0" xfId="0" applyNumberFormat="1"/>
  </cellXfs>
  <cellStyles count="8">
    <cellStyle name="20% - Accent6" xfId="6" builtinId="50"/>
    <cellStyle name="40% - Accent6" xfId="7" builtinId="51"/>
    <cellStyle name="60% - Accent1" xfId="4" builtinId="32"/>
    <cellStyle name="Accent1" xfId="2" builtinId="29"/>
    <cellStyle name="Accent4" xfId="5" builtinId="41"/>
    <cellStyle name="Accent6" xfId="3" builtinId="49"/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4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worksheet" Target="worksheets/sheet8.xml"/><Relationship Id="rId51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powerPivotData" Target="model/item.data"/><Relationship Id="rId41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openclipart.org/detail/18617/printer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33</xdr:row>
          <xdr:rowOff>180975</xdr:rowOff>
        </xdr:from>
        <xdr:to>
          <xdr:col>4</xdr:col>
          <xdr:colOff>9525</xdr:colOff>
          <xdr:row>35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ill Sans MT"/>
                </a:rPr>
                <a:t>Add_Leg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33</xdr:row>
          <xdr:rowOff>180975</xdr:rowOff>
        </xdr:from>
        <xdr:to>
          <xdr:col>5</xdr:col>
          <xdr:colOff>819150</xdr:colOff>
          <xdr:row>35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ill Sans MT"/>
                </a:rPr>
                <a:t>Miles Used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437666</xdr:colOff>
      <xdr:row>3</xdr:row>
      <xdr:rowOff>85725</xdr:rowOff>
    </xdr:from>
    <xdr:to>
      <xdr:col>6</xdr:col>
      <xdr:colOff>650240</xdr:colOff>
      <xdr:row>6</xdr:row>
      <xdr:rowOff>212090</xdr:rowOff>
    </xdr:to>
    <xdr:pic macro="[0]!PrintOrder"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14466" y="876300"/>
          <a:ext cx="898374" cy="783590"/>
        </a:xfrm>
        <a:prstGeom prst="rect">
          <a:avLst/>
        </a:prstGeom>
      </xdr:spPr>
    </xdr:pic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hilak Addagatla" refreshedDate="44907.893094560182" createdVersion="5" refreshedVersion="8" minRefreshableVersion="3" recordCount="0" supportSubquery="1" supportAdvancedDrill="1" xr:uid="{1D45F67A-6D5B-45A9-8D48-1CDD975F3286}">
  <cacheSource type="external" connectionId="1"/>
  <cacheFields count="5">
    <cacheField name="[Sales].[Date (Month)].[Date (Month)]" caption="Date (Month)" numFmtId="0" hierarchy="23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Measures].[Sum of Revenue]" caption="Sum of Revenue" numFmtId="0" hierarchy="25" level="32767"/>
    <cacheField name="Dummy0" numFmtId="0" hierarchy="40" level="32767">
      <extLst>
        <ext xmlns:x14="http://schemas.microsoft.com/office/spreadsheetml/2009/9/main" uri="{63CAB8AC-B538-458d-9737-405883B0398D}">
          <x14:cacheField ignore="1"/>
        </ext>
      </extLst>
    </cacheField>
    <cacheField name="Dummy1" numFmtId="0" hierarchy="41" level="32767">
      <extLst>
        <ext xmlns:x14="http://schemas.microsoft.com/office/spreadsheetml/2009/9/main" uri="{63CAB8AC-B538-458d-9737-405883B0398D}">
          <x14:cacheField ignore="1"/>
        </ext>
      </extLst>
    </cacheField>
    <cacheField name="Dummy2" numFmtId="0" hierarchy="42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43">
    <cacheHierarchy uniqueName="[Agents].[Agent]" caption="Agent" attribute="1" defaultMemberUniqueName="[Agents].[Agent].[All]" allUniqueName="[Agents].[Agent].[All]" dimensionUniqueName="[Agents]" displayFolder="" count="0" memberValueDatatype="130" unbalanced="0"/>
    <cacheHierarchy uniqueName="[Agents].[Sales Region]" caption="Sales Region" attribute="1" defaultMemberUniqueName="[Agents].[Sales Region].[All]" allUniqueName="[Agents].[Sales Region].[All]" dimensionUniqueName="[Agents]" displayFolder="" count="0" memberValueDatatype="130" unbalanced="0"/>
    <cacheHierarchy uniqueName="[Agents].[Name]" caption="Name" attribute="1" defaultMemberUniqueName="[Agents].[Name].[All]" allUniqueName="[Agents].[Name].[All]" dimensionUniqueName="[Agents]" displayFolder="" count="0" memberValueDatatype="130" unbalanced="0"/>
    <cacheHierarchy uniqueName="[Agents].[Base Salary]" caption="Base Salary" attribute="1" defaultMemberUniqueName="[Agents].[Base Salary].[All]" allUniqueName="[Agents].[Base Salary].[All]" dimensionUniqueName="[Agents]" displayFolder="" count="0" memberValueDatatype="20" unbalanced="0"/>
    <cacheHierarchy uniqueName="[Agents].[Sales Minimum]" caption="Sales Minimum" attribute="1" defaultMemberUniqueName="[Agents].[Sales Minimum].[All]" allUniqueName="[Agents].[Sales Minimum].[All]" dimensionUniqueName="[Agents]" displayFolder="" count="0" memberValueDatatype="20" unbalanced="0"/>
    <cacheHierarchy uniqueName="[Agents].[Commission]" caption="Commission" attribute="1" defaultMemberUniqueName="[Agents].[Commission].[All]" allUniqueName="[Agents].[Commission].[All]" dimensionUniqueName="[Agents]" displayFolder="" count="0" memberValueDatatype="5" unbalanced="0"/>
    <cacheHierarchy uniqueName="[Hospitals].[Hospital]" caption="Hospital" attribute="1" defaultMemberUniqueName="[Hospitals].[Hospital].[All]" allUniqueName="[Hospitals].[Hospital].[All]" dimensionUniqueName="[Hospitals]" displayFolder="" count="0" memberValueDatatype="130" unbalanced="0"/>
    <cacheHierarchy uniqueName="[Hospitals].[Hospital Name]" caption="Hospital Name" attribute="1" defaultMemberUniqueName="[Hospitals].[Hospital Name].[All]" allUniqueName="[Hospitals].[Hospital Name].[All]" dimensionUniqueName="[Hospitals]" displayFolder="" count="0" memberValueDatatype="130" unbalanced="0"/>
    <cacheHierarchy uniqueName="[Hospitals].[Region]" caption="Region" attribute="1" defaultMemberUniqueName="[Hospitals].[Region].[All]" allUniqueName="[Hospitals].[Region].[All]" dimensionUniqueName="[Hospitals]" displayFolder="" count="0" memberValueDatatype="130" unbalanced="0"/>
    <cacheHierarchy uniqueName="[Hospitals].[Street]" caption="Street" attribute="1" defaultMemberUniqueName="[Hospitals].[Street].[All]" allUniqueName="[Hospitals].[Street].[All]" dimensionUniqueName="[Hospitals]" displayFolder="" count="0" memberValueDatatype="130" unbalanced="0"/>
    <cacheHierarchy uniqueName="[Hospitals].[City]" caption="City" attribute="1" defaultMemberUniqueName="[Hospitals].[City].[All]" allUniqueName="[Hospitals].[City].[All]" dimensionUniqueName="[Hospitals]" displayFolder="" count="0" memberValueDatatype="130" unbalanced="0"/>
    <cacheHierarchy uniqueName="[Hospitals].[State]" caption="State" attribute="1" defaultMemberUniqueName="[Hospitals].[State].[All]" allUniqueName="[Hospitals].[State].[All]" dimensionUniqueName="[Hospitals]" displayFolder="" count="0" memberValueDatatype="130" unbalanced="0"/>
    <cacheHierarchy uniqueName="[Hospitals].[Postal Code]" caption="Postal Code" attribute="1" defaultMemberUniqueName="[Hospitals].[Postal Code].[All]" allUniqueName="[Hospitals].[Postal Code].[All]" dimensionUniqueName="[Hospitals]" displayFolder="" count="0" memberValueDatatype="130" unbalanced="0"/>
    <cacheHierarchy uniqueName="[Hospitals].[Phone]" caption="Phone" attribute="1" defaultMemberUniqueName="[Hospitals].[Phone].[All]" allUniqueName="[Hospitals].[Phone].[All]" dimensionUniqueName="[Hospital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Product Name]" caption="Product Name" attribute="1" defaultMemberUniqueName="[Products].[Product Name].[All]" allUniqueName="[Products].[Product Name].[All]" dimensionUniqueName="[Products]" displayFolder="" count="0" memberValueDatatype="130" unbalanced="0"/>
    <cacheHierarchy uniqueName="[Products].[Product Description]" caption="Product Description" attribute="1" defaultMemberUniqueName="[Products].[Product Description].[All]" allUniqueName="[Products].[Product Description].[All]" dimensionUniqueName="[Products]" displayFolder="" count="0" memberValueDatatype="130" unbalanced="0"/>
    <cacheHierarchy uniqueName="[Sales].[Date]" caption="Date" attribute="1" time="1" defaultMemberUniqueName="[Sales].[Date].[All]" allUniqueName="[Sales].[Date].[All]" dimensionUniqueName="[Sales]" displayFolder="" count="0" memberValueDatatype="7" unbalanced="0"/>
    <cacheHierarchy uniqueName="[Sales].[Agent]" caption="Agent" attribute="1" defaultMemberUniqueName="[Sales].[Agent].[All]" allUniqueName="[Sales].[Agent].[All]" dimensionUniqueName="[Sales]" displayFolder="" count="0" memberValueDatatype="130" unbalanced="0"/>
    <cacheHierarchy uniqueName="[Sales].[Hospital]" caption="Hospital" attribute="1" defaultMemberUniqueName="[Sales].[Hospital].[All]" allUniqueName="[Sales].[Hospital].[All]" dimensionUniqueName="[Sales]" displayFolder="" count="0" memberValueDatatype="130" unbalanced="0"/>
    <cacheHierarchy uniqueName="[Sales].[Product]" caption="Product" attribute="1" defaultMemberUniqueName="[Sales].[Product].[All]" allUniqueName="[Sales].[Product].[All]" dimensionUniqueName="[Sales]" displayFolder="" count="0" memberValueDatatype="130" unbalanced="0"/>
    <cacheHierarchy uniqueName="[Sales].[Units Sold]" caption="Units Sold" attribute="1" defaultMemberUniqueName="[Sales].[Units Sold].[All]" allUniqueName="[Sales].[Units Sold].[All]" dimensionUniqueName="[Sales]" displayFolder="" count="0" memberValueDatatype="20" unbalanced="0"/>
    <cacheHierarchy uniqueName="[Sales].[Revenue]" caption="Revenue" attribute="1" defaultMemberUniqueName="[Sales].[Revenue].[All]" allUniqueName="[Sales].[Revenue].[All]" dimensionUniqueName="[Sales]" displayFolder="" count="0" memberValueDatatype="20" unbalanced="0"/>
    <cacheHierarchy uniqueName="[Sales].[Date (Month)]" caption="Date (Month)" attribute="1" defaultMemberUniqueName="[Sales].[Date (Month)].[All]" allUniqueName="[Sales].[Date (Month)].[All]" dimensionUniqueName="[Sales]" displayFolder="" count="2" memberValueDatatype="130" unbalanced="0">
      <fieldsUsage count="2">
        <fieldUsage x="-1"/>
        <fieldUsage x="0"/>
      </fieldsUsage>
    </cacheHierarchy>
    <cacheHierarchy uniqueName="[Sales].[Date (Month Index)]" caption="Date (Month Index)" attribute="1" defaultMemberUniqueName="[Sales].[Date (Month Index)].[All]" allUniqueName="[Sales].[Date (Month Index)].[All]" dimensionUniqueName="[Sales]" displayFolder="" count="0" memberValueDatatype="20" unbalanced="0" hidden="1"/>
    <cacheHierarchy uniqueName="[Measures].[Sum of Revenue]" caption="Sum of Revenue" measure="1" displayFolder="" measureGroup="Sale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Base Salary]" caption="Sum of Base Salary" measure="1" displayFolder="" measureGroup="Agents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Commission]" caption="Sum of Commission" measure="1" displayFolder="" measureGroup="Ag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Hospital]" caption="Count of Hospital" measure="1" displayFolder="" measureGroup="Sales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Distinct Count of Hospital]" caption="Distinct Count of Hospital" measure="1" displayFolder="" measureGroup="Sales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Sales Minimum]" caption="Sum of Sales Minimum" measure="1" displayFolder="" measureGroup="Agents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unt of Hospital 2]" caption="Count of Hospital 2" measure="1" displayFolder="" measureGroup="Hospitals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Hospital Name]" caption="Count of Hospital Name" measure="1" displayFolder="" measureGroup="Hospitals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Earned Commission]" caption="Earned Commission" measure="1" displayFolder="" measureGroup="Sales" count="0"/>
    <cacheHierarchy uniqueName="[Measures].[Total Compensation]" caption="Total Compensation" measure="1" displayFolder="" measureGroup="Sales" count="0"/>
    <cacheHierarchy uniqueName="[Measures].[__XL_Count Sales]" caption="__XL_Count Sales" measure="1" displayFolder="" measureGroup="Sales" count="0" hidden="1"/>
    <cacheHierarchy uniqueName="[Measures].[__XL_Count Agents]" caption="__XL_Count Agents" measure="1" displayFolder="" measureGroup="Agents" count="0" hidden="1"/>
    <cacheHierarchy uniqueName="[Measures].[__XL_Count Hospitals]" caption="__XL_Count Hospitals" measure="1" displayFolder="" measureGroup="Hospitals" count="0" hidden="1"/>
    <cacheHierarchy uniqueName="[Measures].[__XL_Count Products]" caption="__XL_Count Products" measure="1" displayFolder="" measureGroup="Products" count="0" hidden="1"/>
    <cacheHierarchy uniqueName="[Measures].[__No measures defined]" caption="__No measures defined" measure="1" displayFolder="" count="0" hidden="1"/>
    <cacheHierarchy uniqueName="Dummy0" caption="Agent" measure="1" count="0">
      <extLst>
        <ext xmlns:x14="http://schemas.microsoft.com/office/spreadsheetml/2009/9/main" uri="{8CF416AD-EC4C-4aba-99F5-12A058AE0983}">
          <x14:cacheHierarchy ignore="1"/>
        </ext>
      </extLst>
    </cacheHierarchy>
    <cacheHierarchy uniqueName="Dummy1" caption="Agent" measure="1" count="0">
      <extLst>
        <ext xmlns:x14="http://schemas.microsoft.com/office/spreadsheetml/2009/9/main" uri="{8CF416AD-EC4C-4aba-99F5-12A058AE0983}">
          <x14:cacheHierarchy ignore="1"/>
        </ext>
      </extLst>
    </cacheHierarchy>
    <cacheHierarchy uniqueName="Dummy2" caption="Agent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5">
    <dimension name="Agents" uniqueName="[Agents]" caption="Agents"/>
    <dimension name="Hospitals" uniqueName="[Hospitals]" caption="Hospitals"/>
    <dimension measure="1" name="Measures" uniqueName="[Measures]" caption="Measures"/>
    <dimension name="Products" uniqueName="[Products]" caption="Products"/>
    <dimension name="Sales" uniqueName="[Sales]" caption="Sales"/>
  </dimensions>
  <measureGroups count="4">
    <measureGroup name="Agents" caption="Agents"/>
    <measureGroup name="Hospitals" caption="Hospitals"/>
    <measureGroup name="Products" caption="Products"/>
    <measureGroup name="Sales" caption="Sales"/>
  </measureGroups>
  <maps count="7">
    <map measureGroup="0" dimension="0"/>
    <map measureGroup="1" dimension="1"/>
    <map measureGroup="2" dimension="3"/>
    <map measureGroup="3" dimension="0"/>
    <map measureGroup="3" dimension="1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hilak Addagatla" refreshedDate="44907.893095370368" createdVersion="5" refreshedVersion="8" minRefreshableVersion="3" recordCount="0" supportSubquery="1" supportAdvancedDrill="1" xr:uid="{45672ED7-FCA9-4D6F-9BB1-EBB62C3C1D78}">
  <cacheSource type="external" connectionId="1"/>
  <cacheFields count="4">
    <cacheField name="[Agents].[Sales Region].[Sales Region]" caption="Sales Region" numFmtId="0" hierarchy="1" level="1">
      <sharedItems count="5">
        <s v="Midwest"/>
        <s v="Northeast"/>
        <s v="Southeast"/>
        <s v="Southwest"/>
        <s v="West"/>
      </sharedItems>
    </cacheField>
    <cacheField name="[Agents].[Name].[Name]" caption="Name" numFmtId="0" hierarchy="2" level="1">
      <sharedItems count="15">
        <s v="Brandi Hernandez"/>
        <s v="Christopher Stoddard"/>
        <s v="Marie Flanagan"/>
        <s v="James Magallon"/>
        <s v="Rose Lewis"/>
        <s v="Wayne Manning"/>
        <s v="Maude Brown"/>
        <s v="Sandra Butters"/>
        <s v="Shirley Vitela"/>
        <s v="Andrew West"/>
        <s v="Herbert Collins"/>
        <s v="Jessica West"/>
        <s v="Retha Cain"/>
        <s v="Tam Wu"/>
        <s v="Teresa Johnson"/>
      </sharedItems>
    </cacheField>
    <cacheField name="[Measures].[Sum of Revenue]" caption="Sum of Revenue" numFmtId="0" hierarchy="25" level="32767"/>
    <cacheField name="Dummy0" numFmtId="0" hierarchy="40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41">
    <cacheHierarchy uniqueName="[Agents].[Agent]" caption="Agent" attribute="1" defaultMemberUniqueName="[Agents].[Agent].[All]" allUniqueName="[Agents].[Agent].[All]" dimensionUniqueName="[Agents]" displayFolder="" count="0" memberValueDatatype="130" unbalanced="0"/>
    <cacheHierarchy uniqueName="[Agents].[Sales Region]" caption="Sales Region" attribute="1" defaultMemberUniqueName="[Agents].[Sales Region].[All]" allUniqueName="[Agents].[Sales Region].[All]" dimensionUniqueName="[Agents]" displayFolder="" count="2" memberValueDatatype="130" unbalanced="0">
      <fieldsUsage count="2">
        <fieldUsage x="-1"/>
        <fieldUsage x="0"/>
      </fieldsUsage>
    </cacheHierarchy>
    <cacheHierarchy uniqueName="[Agents].[Name]" caption="Name" attribute="1" defaultMemberUniqueName="[Agents].[Name].[All]" allUniqueName="[Agents].[Name].[All]" dimensionUniqueName="[Agents]" displayFolder="" count="2" memberValueDatatype="130" unbalanced="0">
      <fieldsUsage count="2">
        <fieldUsage x="-1"/>
        <fieldUsage x="1"/>
      </fieldsUsage>
    </cacheHierarchy>
    <cacheHierarchy uniqueName="[Agents].[Base Salary]" caption="Base Salary" attribute="1" defaultMemberUniqueName="[Agents].[Base Salary].[All]" allUniqueName="[Agents].[Base Salary].[All]" dimensionUniqueName="[Agents]" displayFolder="" count="0" memberValueDatatype="20" unbalanced="0"/>
    <cacheHierarchy uniqueName="[Agents].[Sales Minimum]" caption="Sales Minimum" attribute="1" defaultMemberUniqueName="[Agents].[Sales Minimum].[All]" allUniqueName="[Agents].[Sales Minimum].[All]" dimensionUniqueName="[Agents]" displayFolder="" count="0" memberValueDatatype="20" unbalanced="0"/>
    <cacheHierarchy uniqueName="[Agents].[Commission]" caption="Commission" attribute="1" defaultMemberUniqueName="[Agents].[Commission].[All]" allUniqueName="[Agents].[Commission].[All]" dimensionUniqueName="[Agents]" displayFolder="" count="0" memberValueDatatype="5" unbalanced="0"/>
    <cacheHierarchy uniqueName="[Hospitals].[Hospital]" caption="Hospital" attribute="1" defaultMemberUniqueName="[Hospitals].[Hospital].[All]" allUniqueName="[Hospitals].[Hospital].[All]" dimensionUniqueName="[Hospitals]" displayFolder="" count="0" memberValueDatatype="130" unbalanced="0"/>
    <cacheHierarchy uniqueName="[Hospitals].[Hospital Name]" caption="Hospital Name" attribute="1" defaultMemberUniqueName="[Hospitals].[Hospital Name].[All]" allUniqueName="[Hospitals].[Hospital Name].[All]" dimensionUniqueName="[Hospitals]" displayFolder="" count="0" memberValueDatatype="130" unbalanced="0"/>
    <cacheHierarchy uniqueName="[Hospitals].[Region]" caption="Region" attribute="1" defaultMemberUniqueName="[Hospitals].[Region].[All]" allUniqueName="[Hospitals].[Region].[All]" dimensionUniqueName="[Hospitals]" displayFolder="" count="0" memberValueDatatype="130" unbalanced="0"/>
    <cacheHierarchy uniqueName="[Hospitals].[Street]" caption="Street" attribute="1" defaultMemberUniqueName="[Hospitals].[Street].[All]" allUniqueName="[Hospitals].[Street].[All]" dimensionUniqueName="[Hospitals]" displayFolder="" count="0" memberValueDatatype="130" unbalanced="0"/>
    <cacheHierarchy uniqueName="[Hospitals].[City]" caption="City" attribute="1" defaultMemberUniqueName="[Hospitals].[City].[All]" allUniqueName="[Hospitals].[City].[All]" dimensionUniqueName="[Hospitals]" displayFolder="" count="0" memberValueDatatype="130" unbalanced="0"/>
    <cacheHierarchy uniqueName="[Hospitals].[State]" caption="State" attribute="1" defaultMemberUniqueName="[Hospitals].[State].[All]" allUniqueName="[Hospitals].[State].[All]" dimensionUniqueName="[Hospitals]" displayFolder="" count="0" memberValueDatatype="130" unbalanced="0"/>
    <cacheHierarchy uniqueName="[Hospitals].[Postal Code]" caption="Postal Code" attribute="1" defaultMemberUniqueName="[Hospitals].[Postal Code].[All]" allUniqueName="[Hospitals].[Postal Code].[All]" dimensionUniqueName="[Hospitals]" displayFolder="" count="0" memberValueDatatype="130" unbalanced="0"/>
    <cacheHierarchy uniqueName="[Hospitals].[Phone]" caption="Phone" attribute="1" defaultMemberUniqueName="[Hospitals].[Phone].[All]" allUniqueName="[Hospitals].[Phone].[All]" dimensionUniqueName="[Hospital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Product Name]" caption="Product Name" attribute="1" defaultMemberUniqueName="[Products].[Product Name].[All]" allUniqueName="[Products].[Product Name].[All]" dimensionUniqueName="[Products]" displayFolder="" count="0" memberValueDatatype="130" unbalanced="0"/>
    <cacheHierarchy uniqueName="[Products].[Product Description]" caption="Product Description" attribute="1" defaultMemberUniqueName="[Products].[Product Description].[All]" allUniqueName="[Products].[Product Description].[All]" dimensionUniqueName="[Products]" displayFolder="" count="0" memberValueDatatype="130" unbalanced="0"/>
    <cacheHierarchy uniqueName="[Sales].[Date]" caption="Date" attribute="1" time="1" defaultMemberUniqueName="[Sales].[Date].[All]" allUniqueName="[Sales].[Date].[All]" dimensionUniqueName="[Sales]" displayFolder="" count="0" memberValueDatatype="7" unbalanced="0"/>
    <cacheHierarchy uniqueName="[Sales].[Agent]" caption="Agent" attribute="1" defaultMemberUniqueName="[Sales].[Agent].[All]" allUniqueName="[Sales].[Agent].[All]" dimensionUniqueName="[Sales]" displayFolder="" count="0" memberValueDatatype="130" unbalanced="0"/>
    <cacheHierarchy uniqueName="[Sales].[Hospital]" caption="Hospital" attribute="1" defaultMemberUniqueName="[Sales].[Hospital].[All]" allUniqueName="[Sales].[Hospital].[All]" dimensionUniqueName="[Sales]" displayFolder="" count="0" memberValueDatatype="130" unbalanced="0"/>
    <cacheHierarchy uniqueName="[Sales].[Product]" caption="Product" attribute="1" defaultMemberUniqueName="[Sales].[Product].[All]" allUniqueName="[Sales].[Product].[All]" dimensionUniqueName="[Sales]" displayFolder="" count="0" memberValueDatatype="130" unbalanced="0"/>
    <cacheHierarchy uniqueName="[Sales].[Units Sold]" caption="Units Sold" attribute="1" defaultMemberUniqueName="[Sales].[Units Sold].[All]" allUniqueName="[Sales].[Units Sold].[All]" dimensionUniqueName="[Sales]" displayFolder="" count="0" memberValueDatatype="20" unbalanced="0"/>
    <cacheHierarchy uniqueName="[Sales].[Revenue]" caption="Revenue" attribute="1" defaultMemberUniqueName="[Sales].[Revenue].[All]" allUniqueName="[Sales].[Revenue].[All]" dimensionUniqueName="[Sales]" displayFolder="" count="0" memberValueDatatype="20" unbalanced="0"/>
    <cacheHierarchy uniqueName="[Sales].[Date (Month)]" caption="Date (Month)" attribute="1" defaultMemberUniqueName="[Sales].[Date (Month)].[All]" allUniqueName="[Sales].[Date (Month)].[All]" dimensionUniqueName="[Sales]" displayFolder="" count="0" memberValueDatatype="130" unbalanced="0"/>
    <cacheHierarchy uniqueName="[Sales].[Date (Month Index)]" caption="Date (Month Index)" attribute="1" defaultMemberUniqueName="[Sales].[Date (Month Index)].[All]" allUniqueName="[Sales].[Date (Month Index)].[All]" dimensionUniqueName="[Sales]" displayFolder="" count="0" memberValueDatatype="20" unbalanced="0" hidden="1"/>
    <cacheHierarchy uniqueName="[Measures].[Sum of Revenue]" caption="Sum of Revenue" measure="1" displayFolder="" measureGroup="Sale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Base Salary]" caption="Sum of Base Salary" measure="1" displayFolder="" measureGroup="Agents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Commission]" caption="Sum of Commission" measure="1" displayFolder="" measureGroup="Ag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Hospital]" caption="Count of Hospital" measure="1" displayFolder="" measureGroup="Sales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Distinct Count of Hospital]" caption="Distinct Count of Hospital" measure="1" displayFolder="" measureGroup="Sales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Sales Minimum]" caption="Sum of Sales Minimum" measure="1" displayFolder="" measureGroup="Agents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unt of Hospital 2]" caption="Count of Hospital 2" measure="1" displayFolder="" measureGroup="Hospitals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Hospital Name]" caption="Count of Hospital Name" measure="1" displayFolder="" measureGroup="Hospitals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Earned Commission]" caption="Earned Commission" measure="1" displayFolder="" measureGroup="Sales" count="0"/>
    <cacheHierarchy uniqueName="[Measures].[Total Compensation]" caption="Total Compensation" measure="1" displayFolder="" measureGroup="Sales" count="0"/>
    <cacheHierarchy uniqueName="[Measures].[__XL_Count Sales]" caption="__XL_Count Sales" measure="1" displayFolder="" measureGroup="Sales" count="0" hidden="1"/>
    <cacheHierarchy uniqueName="[Measures].[__XL_Count Agents]" caption="__XL_Count Agents" measure="1" displayFolder="" measureGroup="Agents" count="0" hidden="1"/>
    <cacheHierarchy uniqueName="[Measures].[__XL_Count Hospitals]" caption="__XL_Count Hospitals" measure="1" displayFolder="" measureGroup="Hospitals" count="0" hidden="1"/>
    <cacheHierarchy uniqueName="[Measures].[__XL_Count Products]" caption="__XL_Count Products" measure="1" displayFolder="" measureGroup="Products" count="0" hidden="1"/>
    <cacheHierarchy uniqueName="[Measures].[__No measures defined]" caption="__No measures defined" measure="1" displayFolder="" count="0" hidden="1"/>
    <cacheHierarchy uniqueName="Dummy0" caption="Agent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5">
    <dimension name="Agents" uniqueName="[Agents]" caption="Agents"/>
    <dimension name="Hospitals" uniqueName="[Hospitals]" caption="Hospitals"/>
    <dimension measure="1" name="Measures" uniqueName="[Measures]" caption="Measures"/>
    <dimension name="Products" uniqueName="[Products]" caption="Products"/>
    <dimension name="Sales" uniqueName="[Sales]" caption="Sales"/>
  </dimensions>
  <measureGroups count="4">
    <measureGroup name="Agents" caption="Agents"/>
    <measureGroup name="Hospitals" caption="Hospitals"/>
    <measureGroup name="Products" caption="Products"/>
    <measureGroup name="Sales" caption="Sales"/>
  </measureGroups>
  <maps count="7">
    <map measureGroup="0" dimension="0"/>
    <map measureGroup="1" dimension="1"/>
    <map measureGroup="2" dimension="3"/>
    <map measureGroup="3" dimension="0"/>
    <map measureGroup="3" dimension="1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hilak Addagatla" refreshedDate="44907.893096064814" createdVersion="5" refreshedVersion="8" minRefreshableVersion="3" recordCount="0" supportSubquery="1" supportAdvancedDrill="1" xr:uid="{561CDDE0-2C8D-45CA-B40C-FB89CEDC5013}">
  <cacheSource type="external" connectionId="1"/>
  <cacheFields count="3">
    <cacheField name="[Sales].[Date (Month)].[Date (Month)]" caption="Date (Month)" numFmtId="0" hierarchy="23" level="1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[Agents].[Name].[Name]" caption="Name" numFmtId="0" hierarchy="2" level="1">
      <sharedItems count="15">
        <s v="Andrew West"/>
        <s v="Brandi Hernandez"/>
        <s v="Christopher Stoddard"/>
        <s v="Herbert Collins"/>
        <s v="James Magallon"/>
        <s v="Jessica West"/>
        <s v="Marie Flanagan"/>
        <s v="Maude Brown"/>
        <s v="Retha Cain"/>
        <s v="Rose Lewis"/>
        <s v="Sandra Butters"/>
        <s v="Shirley Vitela"/>
        <s v="Tam Wu"/>
        <s v="Teresa Johnson"/>
        <s v="Wayne Manning"/>
      </sharedItems>
    </cacheField>
    <cacheField name="[Measures].[Count of Hospital]" caption="Count of Hospital" numFmtId="0" hierarchy="28" level="32767"/>
  </cacheFields>
  <cacheHierarchies count="40">
    <cacheHierarchy uniqueName="[Agents].[Agent]" caption="Agent" attribute="1" defaultMemberUniqueName="[Agents].[Agent].[All]" allUniqueName="[Agents].[Agent].[All]" dimensionUniqueName="[Agents]" displayFolder="" count="0" memberValueDatatype="130" unbalanced="0"/>
    <cacheHierarchy uniqueName="[Agents].[Sales Region]" caption="Sales Region" attribute="1" defaultMemberUniqueName="[Agents].[Sales Region].[All]" allUniqueName="[Agents].[Sales Region].[All]" dimensionUniqueName="[Agents]" displayFolder="" count="0" memberValueDatatype="130" unbalanced="0"/>
    <cacheHierarchy uniqueName="[Agents].[Name]" caption="Name" attribute="1" defaultMemberUniqueName="[Agents].[Name].[All]" allUniqueName="[Agents].[Name].[All]" dimensionUniqueName="[Agents]" displayFolder="" count="2" memberValueDatatype="130" unbalanced="0">
      <fieldsUsage count="2">
        <fieldUsage x="-1"/>
        <fieldUsage x="1"/>
      </fieldsUsage>
    </cacheHierarchy>
    <cacheHierarchy uniqueName="[Agents].[Base Salary]" caption="Base Salary" attribute="1" defaultMemberUniqueName="[Agents].[Base Salary].[All]" allUniqueName="[Agents].[Base Salary].[All]" dimensionUniqueName="[Agents]" displayFolder="" count="0" memberValueDatatype="20" unbalanced="0"/>
    <cacheHierarchy uniqueName="[Agents].[Sales Minimum]" caption="Sales Minimum" attribute="1" defaultMemberUniqueName="[Agents].[Sales Minimum].[All]" allUniqueName="[Agents].[Sales Minimum].[All]" dimensionUniqueName="[Agents]" displayFolder="" count="0" memberValueDatatype="20" unbalanced="0"/>
    <cacheHierarchy uniqueName="[Agents].[Commission]" caption="Commission" attribute="1" defaultMemberUniqueName="[Agents].[Commission].[All]" allUniqueName="[Agents].[Commission].[All]" dimensionUniqueName="[Agents]" displayFolder="" count="0" memberValueDatatype="5" unbalanced="0"/>
    <cacheHierarchy uniqueName="[Hospitals].[Hospital]" caption="Hospital" attribute="1" defaultMemberUniqueName="[Hospitals].[Hospital].[All]" allUniqueName="[Hospitals].[Hospital].[All]" dimensionUniqueName="[Hospitals]" displayFolder="" count="0" memberValueDatatype="130" unbalanced="0"/>
    <cacheHierarchy uniqueName="[Hospitals].[Hospital Name]" caption="Hospital Name" attribute="1" defaultMemberUniqueName="[Hospitals].[Hospital Name].[All]" allUniqueName="[Hospitals].[Hospital Name].[All]" dimensionUniqueName="[Hospitals]" displayFolder="" count="0" memberValueDatatype="130" unbalanced="0"/>
    <cacheHierarchy uniqueName="[Hospitals].[Region]" caption="Region" attribute="1" defaultMemberUniqueName="[Hospitals].[Region].[All]" allUniqueName="[Hospitals].[Region].[All]" dimensionUniqueName="[Hospitals]" displayFolder="" count="0" memberValueDatatype="130" unbalanced="0"/>
    <cacheHierarchy uniqueName="[Hospitals].[Street]" caption="Street" attribute="1" defaultMemberUniqueName="[Hospitals].[Street].[All]" allUniqueName="[Hospitals].[Street].[All]" dimensionUniqueName="[Hospitals]" displayFolder="" count="0" memberValueDatatype="130" unbalanced="0"/>
    <cacheHierarchy uniqueName="[Hospitals].[City]" caption="City" attribute="1" defaultMemberUniqueName="[Hospitals].[City].[All]" allUniqueName="[Hospitals].[City].[All]" dimensionUniqueName="[Hospitals]" displayFolder="" count="0" memberValueDatatype="130" unbalanced="0"/>
    <cacheHierarchy uniqueName="[Hospitals].[State]" caption="State" attribute="1" defaultMemberUniqueName="[Hospitals].[State].[All]" allUniqueName="[Hospitals].[State].[All]" dimensionUniqueName="[Hospitals]" displayFolder="" count="0" memberValueDatatype="130" unbalanced="0"/>
    <cacheHierarchy uniqueName="[Hospitals].[Postal Code]" caption="Postal Code" attribute="1" defaultMemberUniqueName="[Hospitals].[Postal Code].[All]" allUniqueName="[Hospitals].[Postal Code].[All]" dimensionUniqueName="[Hospitals]" displayFolder="" count="0" memberValueDatatype="130" unbalanced="0"/>
    <cacheHierarchy uniqueName="[Hospitals].[Phone]" caption="Phone" attribute="1" defaultMemberUniqueName="[Hospitals].[Phone].[All]" allUniqueName="[Hospitals].[Phone].[All]" dimensionUniqueName="[Hospital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Product Name]" caption="Product Name" attribute="1" defaultMemberUniqueName="[Products].[Product Name].[All]" allUniqueName="[Products].[Product Name].[All]" dimensionUniqueName="[Products]" displayFolder="" count="0" memberValueDatatype="130" unbalanced="0"/>
    <cacheHierarchy uniqueName="[Products].[Product Description]" caption="Product Description" attribute="1" defaultMemberUniqueName="[Products].[Product Description].[All]" allUniqueName="[Products].[Product Description].[All]" dimensionUniqueName="[Products]" displayFolder="" count="0" memberValueDatatype="130" unbalanced="0"/>
    <cacheHierarchy uniqueName="[Sales].[Date]" caption="Date" attribute="1" time="1" defaultMemberUniqueName="[Sales].[Date].[All]" allUniqueName="[Sales].[Date].[All]" dimensionUniqueName="[Sales]" displayFolder="" count="0" memberValueDatatype="7" unbalanced="0"/>
    <cacheHierarchy uniqueName="[Sales].[Agent]" caption="Agent" attribute="1" defaultMemberUniqueName="[Sales].[Agent].[All]" allUniqueName="[Sales].[Agent].[All]" dimensionUniqueName="[Sales]" displayFolder="" count="0" memberValueDatatype="130" unbalanced="0"/>
    <cacheHierarchy uniqueName="[Sales].[Hospital]" caption="Hospital" attribute="1" defaultMemberUniqueName="[Sales].[Hospital].[All]" allUniqueName="[Sales].[Hospital].[All]" dimensionUniqueName="[Sales]" displayFolder="" count="0" memberValueDatatype="130" unbalanced="0"/>
    <cacheHierarchy uniqueName="[Sales].[Product]" caption="Product" attribute="1" defaultMemberUniqueName="[Sales].[Product].[All]" allUniqueName="[Sales].[Product].[All]" dimensionUniqueName="[Sales]" displayFolder="" count="0" memberValueDatatype="130" unbalanced="0"/>
    <cacheHierarchy uniqueName="[Sales].[Units Sold]" caption="Units Sold" attribute="1" defaultMemberUniqueName="[Sales].[Units Sold].[All]" allUniqueName="[Sales].[Units Sold].[All]" dimensionUniqueName="[Sales]" displayFolder="" count="0" memberValueDatatype="20" unbalanced="0"/>
    <cacheHierarchy uniqueName="[Sales].[Revenue]" caption="Revenue" attribute="1" defaultMemberUniqueName="[Sales].[Revenue].[All]" allUniqueName="[Sales].[Revenue].[All]" dimensionUniqueName="[Sales]" displayFolder="" count="0" memberValueDatatype="20" unbalanced="0"/>
    <cacheHierarchy uniqueName="[Sales].[Date (Month)]" caption="Date (Month)" attribute="1" defaultMemberUniqueName="[Sales].[Date (Month)].[All]" allUniqueName="[Sales].[Date (Month)].[All]" dimensionUniqueName="[Sales]" displayFolder="" count="2" memberValueDatatype="130" unbalanced="0">
      <fieldsUsage count="2">
        <fieldUsage x="-1"/>
        <fieldUsage x="0"/>
      </fieldsUsage>
    </cacheHierarchy>
    <cacheHierarchy uniqueName="[Sales].[Date (Month Index)]" caption="Date (Month Index)" attribute="1" defaultMemberUniqueName="[Sales].[Date (Month Index)].[All]" allUniqueName="[Sales].[Date (Month Index)].[All]" dimensionUniqueName="[Sales]" displayFolder="" count="0" memberValueDatatype="20" unbalanced="0" hidden="1"/>
    <cacheHierarchy uniqueName="[Measures].[Sum of Revenue]" caption="Sum of Revenue" measure="1" displayFolder="" measureGroup="Sales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Base Salary]" caption="Sum of Base Salary" measure="1" displayFolder="" measureGroup="Agents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Commission]" caption="Sum of Commission" measure="1" displayFolder="" measureGroup="Agents" count="0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Hospital]" caption="Count of Hospital" measure="1" displayFolder="" measureGroup="Sale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Distinct Count of Hospital]" caption="Distinct Count of Hospital" measure="1" displayFolder="" measureGroup="Sales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Sales Minimum]" caption="Sum of Sales Minimum" measure="1" displayFolder="" measureGroup="Agents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unt of Hospital 2]" caption="Count of Hospital 2" measure="1" displayFolder="" measureGroup="Hospitals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Hospital Name]" caption="Count of Hospital Name" measure="1" displayFolder="" measureGroup="Hospitals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Earned Commission]" caption="Earned Commission" measure="1" displayFolder="" measureGroup="Sales" count="0"/>
    <cacheHierarchy uniqueName="[Measures].[Total Compensation]" caption="Total Compensation" measure="1" displayFolder="" measureGroup="Sales" count="0"/>
    <cacheHierarchy uniqueName="[Measures].[__XL_Count Sales]" caption="__XL_Count Sales" measure="1" displayFolder="" measureGroup="Sales" count="0" hidden="1"/>
    <cacheHierarchy uniqueName="[Measures].[__XL_Count Agents]" caption="__XL_Count Agents" measure="1" displayFolder="" measureGroup="Agents" count="0" hidden="1"/>
    <cacheHierarchy uniqueName="[Measures].[__XL_Count Hospitals]" caption="__XL_Count Hospitals" measure="1" displayFolder="" measureGroup="Hospitals" count="0" hidden="1"/>
    <cacheHierarchy uniqueName="[Measures].[__XL_Count Products]" caption="__XL_Count Products" measure="1" displayFolder="" measureGroup="Products" count="0" hidden="1"/>
    <cacheHierarchy uniqueName="[Measures].[__No measures defined]" caption="__No measures defined" measure="1" displayFolder="" count="0" hidden="1"/>
  </cacheHierarchies>
  <kpis count="0"/>
  <dimensions count="5">
    <dimension name="Agents" uniqueName="[Agents]" caption="Agents"/>
    <dimension name="Hospitals" uniqueName="[Hospitals]" caption="Hospitals"/>
    <dimension measure="1" name="Measures" uniqueName="[Measures]" caption="Measures"/>
    <dimension name="Products" uniqueName="[Products]" caption="Products"/>
    <dimension name="Sales" uniqueName="[Sales]" caption="Sales"/>
  </dimensions>
  <measureGroups count="4">
    <measureGroup name="Agents" caption="Agents"/>
    <measureGroup name="Hospitals" caption="Hospitals"/>
    <measureGroup name="Products" caption="Products"/>
    <measureGroup name="Sales" caption="Sales"/>
  </measureGroups>
  <maps count="7">
    <map measureGroup="0" dimension="0"/>
    <map measureGroup="1" dimension="1"/>
    <map measureGroup="2" dimension="3"/>
    <map measureGroup="3" dimension="0"/>
    <map measureGroup="3" dimension="1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hilak Addagatla" refreshedDate="44907.893180208332" createdVersion="5" refreshedVersion="8" minRefreshableVersion="3" recordCount="0" supportSubquery="1" supportAdvancedDrill="1" xr:uid="{7416431B-253D-4FD6-8EE5-D4AED9DD512E}">
  <cacheSource type="external" connectionId="1"/>
  <cacheFields count="6">
    <cacheField name="[Agents].[Name].[Name]" caption="Name" numFmtId="0" hierarchy="2" level="1">
      <sharedItems count="15">
        <s v="Andrew West"/>
        <s v="Brandi Hernandez"/>
        <s v="Christopher Stoddard"/>
        <s v="Herbert Collins"/>
        <s v="James Magallon"/>
        <s v="Jessica West"/>
        <s v="Marie Flanagan"/>
        <s v="Maude Brown"/>
        <s v="Retha Cain"/>
        <s v="Rose Lewis"/>
        <s v="Sandra Butters"/>
        <s v="Shirley Vitela"/>
        <s v="Tam Wu"/>
        <s v="Teresa Johnson"/>
        <s v="Wayne Manning"/>
      </sharedItems>
    </cacheField>
    <cacheField name="[Measures].[Sum of Commission]" caption="Sum of Commission" numFmtId="0" hierarchy="27" level="32767"/>
    <cacheField name="[Measures].[Sum of Base Salary]" caption="Sum of Base Salary" numFmtId="0" hierarchy="26" level="32767"/>
    <cacheField name="[Measures].[Sum of Revenue]" caption="Sum of Revenue" numFmtId="0" hierarchy="25" level="32767"/>
    <cacheField name="[Measures].[Earned Commission]" caption="Earned Commission" numFmtId="0" hierarchy="33" level="32767"/>
    <cacheField name="[Measures].[Total Compensation]" caption="Total Compensation" numFmtId="0" hierarchy="34" level="32767"/>
  </cacheFields>
  <cacheHierarchies count="40">
    <cacheHierarchy uniqueName="[Agents].[Agent]" caption="Agent" attribute="1" defaultMemberUniqueName="[Agents].[Agent].[All]" allUniqueName="[Agents].[Agent].[All]" dimensionUniqueName="[Agents]" displayFolder="" count="0" memberValueDatatype="130" unbalanced="0"/>
    <cacheHierarchy uniqueName="[Agents].[Sales Region]" caption="Sales Region" attribute="1" defaultMemberUniqueName="[Agents].[Sales Region].[All]" allUniqueName="[Agents].[Sales Region].[All]" dimensionUniqueName="[Agents]" displayFolder="" count="0" memberValueDatatype="130" unbalanced="0"/>
    <cacheHierarchy uniqueName="[Agents].[Name]" caption="Name" attribute="1" defaultMemberUniqueName="[Agents].[Name].[All]" allUniqueName="[Agents].[Name].[All]" dimensionUniqueName="[Agents]" displayFolder="" count="2" memberValueDatatype="130" unbalanced="0">
      <fieldsUsage count="2">
        <fieldUsage x="-1"/>
        <fieldUsage x="0"/>
      </fieldsUsage>
    </cacheHierarchy>
    <cacheHierarchy uniqueName="[Agents].[Base Salary]" caption="Base Salary" attribute="1" defaultMemberUniqueName="[Agents].[Base Salary].[All]" allUniqueName="[Agents].[Base Salary].[All]" dimensionUniqueName="[Agents]" displayFolder="" count="0" memberValueDatatype="20" unbalanced="0"/>
    <cacheHierarchy uniqueName="[Agents].[Sales Minimum]" caption="Sales Minimum" attribute="1" defaultMemberUniqueName="[Agents].[Sales Minimum].[All]" allUniqueName="[Agents].[Sales Minimum].[All]" dimensionUniqueName="[Agents]" displayFolder="" count="0" memberValueDatatype="20" unbalanced="0"/>
    <cacheHierarchy uniqueName="[Agents].[Commission]" caption="Commission" attribute="1" defaultMemberUniqueName="[Agents].[Commission].[All]" allUniqueName="[Agents].[Commission].[All]" dimensionUniqueName="[Agents]" displayFolder="" count="0" memberValueDatatype="5" unbalanced="0"/>
    <cacheHierarchy uniqueName="[Hospitals].[Hospital]" caption="Hospital" attribute="1" defaultMemberUniqueName="[Hospitals].[Hospital].[All]" allUniqueName="[Hospitals].[Hospital].[All]" dimensionUniqueName="[Hospitals]" displayFolder="" count="0" memberValueDatatype="130" unbalanced="0"/>
    <cacheHierarchy uniqueName="[Hospitals].[Hospital Name]" caption="Hospital Name" attribute="1" defaultMemberUniqueName="[Hospitals].[Hospital Name].[All]" allUniqueName="[Hospitals].[Hospital Name].[All]" dimensionUniqueName="[Hospitals]" displayFolder="" count="0" memberValueDatatype="130" unbalanced="0"/>
    <cacheHierarchy uniqueName="[Hospitals].[Region]" caption="Region" attribute="1" defaultMemberUniqueName="[Hospitals].[Region].[All]" allUniqueName="[Hospitals].[Region].[All]" dimensionUniqueName="[Hospitals]" displayFolder="" count="0" memberValueDatatype="130" unbalanced="0"/>
    <cacheHierarchy uniqueName="[Hospitals].[Street]" caption="Street" attribute="1" defaultMemberUniqueName="[Hospitals].[Street].[All]" allUniqueName="[Hospitals].[Street].[All]" dimensionUniqueName="[Hospitals]" displayFolder="" count="0" memberValueDatatype="130" unbalanced="0"/>
    <cacheHierarchy uniqueName="[Hospitals].[City]" caption="City" attribute="1" defaultMemberUniqueName="[Hospitals].[City].[All]" allUniqueName="[Hospitals].[City].[All]" dimensionUniqueName="[Hospitals]" displayFolder="" count="0" memberValueDatatype="130" unbalanced="0"/>
    <cacheHierarchy uniqueName="[Hospitals].[State]" caption="State" attribute="1" defaultMemberUniqueName="[Hospitals].[State].[All]" allUniqueName="[Hospitals].[State].[All]" dimensionUniqueName="[Hospitals]" displayFolder="" count="0" memberValueDatatype="130" unbalanced="0"/>
    <cacheHierarchy uniqueName="[Hospitals].[Postal Code]" caption="Postal Code" attribute="1" defaultMemberUniqueName="[Hospitals].[Postal Code].[All]" allUniqueName="[Hospitals].[Postal Code].[All]" dimensionUniqueName="[Hospitals]" displayFolder="" count="0" memberValueDatatype="130" unbalanced="0"/>
    <cacheHierarchy uniqueName="[Hospitals].[Phone]" caption="Phone" attribute="1" defaultMemberUniqueName="[Hospitals].[Phone].[All]" allUniqueName="[Hospitals].[Phone].[All]" dimensionUniqueName="[Hospitals]" displayFolder="" count="0" memberValueDatatype="130" unbalanced="0"/>
    <cacheHierarchy uniqueName="[Products].[Product]" caption="Product" attribute="1" defaultMemberUniqueName="[Products].[Product].[All]" allUniqueName="[Products].[Product].[All]" dimensionUniqueName="[Products]" displayFolder="" count="0" memberValueDatatype="130" unbalanced="0"/>
    <cacheHierarchy uniqueName="[Products].[Product Name]" caption="Product Name" attribute="1" defaultMemberUniqueName="[Products].[Product Name].[All]" allUniqueName="[Products].[Product Name].[All]" dimensionUniqueName="[Products]" displayFolder="" count="0" memberValueDatatype="130" unbalanced="0"/>
    <cacheHierarchy uniqueName="[Products].[Product Description]" caption="Product Description" attribute="1" defaultMemberUniqueName="[Products].[Product Description].[All]" allUniqueName="[Products].[Product Description].[All]" dimensionUniqueName="[Products]" displayFolder="" count="0" memberValueDatatype="130" unbalanced="0"/>
    <cacheHierarchy uniqueName="[Sales].[Date]" caption="Date" attribute="1" time="1" defaultMemberUniqueName="[Sales].[Date].[All]" allUniqueName="[Sales].[Date].[All]" dimensionUniqueName="[Sales]" displayFolder="" count="0" memberValueDatatype="7" unbalanced="0"/>
    <cacheHierarchy uniqueName="[Sales].[Agent]" caption="Agent" attribute="1" defaultMemberUniqueName="[Sales].[Agent].[All]" allUniqueName="[Sales].[Agent].[All]" dimensionUniqueName="[Sales]" displayFolder="" count="0" memberValueDatatype="130" unbalanced="0"/>
    <cacheHierarchy uniqueName="[Sales].[Hospital]" caption="Hospital" attribute="1" defaultMemberUniqueName="[Sales].[Hospital].[All]" allUniqueName="[Sales].[Hospital].[All]" dimensionUniqueName="[Sales]" displayFolder="" count="0" memberValueDatatype="130" unbalanced="0"/>
    <cacheHierarchy uniqueName="[Sales].[Product]" caption="Product" attribute="1" defaultMemberUniqueName="[Sales].[Product].[All]" allUniqueName="[Sales].[Product].[All]" dimensionUniqueName="[Sales]" displayFolder="" count="0" memberValueDatatype="130" unbalanced="0"/>
    <cacheHierarchy uniqueName="[Sales].[Units Sold]" caption="Units Sold" attribute="1" defaultMemberUniqueName="[Sales].[Units Sold].[All]" allUniqueName="[Sales].[Units Sold].[All]" dimensionUniqueName="[Sales]" displayFolder="" count="0" memberValueDatatype="20" unbalanced="0"/>
    <cacheHierarchy uniqueName="[Sales].[Revenue]" caption="Revenue" attribute="1" defaultMemberUniqueName="[Sales].[Revenue].[All]" allUniqueName="[Sales].[Revenue].[All]" dimensionUniqueName="[Sales]" displayFolder="" count="0" memberValueDatatype="20" unbalanced="0"/>
    <cacheHierarchy uniqueName="[Sales].[Date (Month)]" caption="Date (Month)" attribute="1" defaultMemberUniqueName="[Sales].[Date (Month)].[All]" allUniqueName="[Sales].[Date (Month)].[All]" dimensionUniqueName="[Sales]" displayFolder="" count="0" memberValueDatatype="130" unbalanced="0"/>
    <cacheHierarchy uniqueName="[Sales].[Date (Month Index)]" caption="Date (Month Index)" attribute="1" defaultMemberUniqueName="[Sales].[Date (Month Index)].[All]" allUniqueName="[Sales].[Date (Month Index)].[All]" dimensionUniqueName="[Sales]" displayFolder="" count="0" memberValueDatatype="20" unbalanced="0" hidden="1"/>
    <cacheHierarchy uniqueName="[Measures].[Sum of Revenue]" caption="Sum of Revenue" measure="1" displayFolder="" measureGroup="Sales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Base Salary]" caption="Sum of Base Salary" measure="1" displayFolder="" measureGroup="Agent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Commission]" caption="Sum of Commission" measure="1" displayFolder="" measureGroup="Agent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unt of Hospital]" caption="Count of Hospital" measure="1" displayFolder="" measureGroup="Sales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Distinct Count of Hospital]" caption="Distinct Count of Hospital" measure="1" displayFolder="" measureGroup="Sales" count="0">
      <extLst>
        <ext xmlns:x15="http://schemas.microsoft.com/office/spreadsheetml/2010/11/main" uri="{B97F6D7D-B522-45F9-BDA1-12C45D357490}">
          <x15:cacheHierarchy aggregatedColumn="19"/>
        </ext>
      </extLst>
    </cacheHierarchy>
    <cacheHierarchy uniqueName="[Measures].[Sum of Sales Minimum]" caption="Sum of Sales Minimum" measure="1" displayFolder="" measureGroup="Agents" count="0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Count of Hospital 2]" caption="Count of Hospital 2" measure="1" displayFolder="" measureGroup="Hospitals" count="0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unt of Hospital Name]" caption="Count of Hospital Name" measure="1" displayFolder="" measureGroup="Hospitals" count="0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Earned Commission]" caption="Earned Commission" measure="1" displayFolder="" measureGroup="Sales" count="0" oneField="1">
      <fieldsUsage count="1">
        <fieldUsage x="4"/>
      </fieldsUsage>
    </cacheHierarchy>
    <cacheHierarchy uniqueName="[Measures].[Total Compensation]" caption="Total Compensation" measure="1" displayFolder="" measureGroup="Sales" count="0" oneField="1">
      <fieldsUsage count="1">
        <fieldUsage x="5"/>
      </fieldsUsage>
    </cacheHierarchy>
    <cacheHierarchy uniqueName="[Measures].[__XL_Count Sales]" caption="__XL_Count Sales" measure="1" displayFolder="" measureGroup="Sales" count="0" hidden="1"/>
    <cacheHierarchy uniqueName="[Measures].[__XL_Count Agents]" caption="__XL_Count Agents" measure="1" displayFolder="" measureGroup="Agents" count="0" hidden="1"/>
    <cacheHierarchy uniqueName="[Measures].[__XL_Count Hospitals]" caption="__XL_Count Hospitals" measure="1" displayFolder="" measureGroup="Hospitals" count="0" hidden="1"/>
    <cacheHierarchy uniqueName="[Measures].[__XL_Count Products]" caption="__XL_Count Products" measure="1" displayFolder="" measureGroup="Products" count="0" hidden="1"/>
    <cacheHierarchy uniqueName="[Measures].[__No measures defined]" caption="__No measures defined" measure="1" displayFolder="" count="0" hidden="1"/>
  </cacheHierarchies>
  <kpis count="0"/>
  <dimensions count="5">
    <dimension name="Agents" uniqueName="[Agents]" caption="Agents"/>
    <dimension name="Hospitals" uniqueName="[Hospitals]" caption="Hospitals"/>
    <dimension measure="1" name="Measures" uniqueName="[Measures]" caption="Measures"/>
    <dimension name="Products" uniqueName="[Products]" caption="Products"/>
    <dimension name="Sales" uniqueName="[Sales]" caption="Sales"/>
  </dimensions>
  <measureGroups count="4">
    <measureGroup name="Agents" caption="Agents"/>
    <measureGroup name="Hospitals" caption="Hospitals"/>
    <measureGroup name="Products" caption="Products"/>
    <measureGroup name="Sales" caption="Sales"/>
  </measureGroups>
  <maps count="7">
    <map measureGroup="0" dimension="0"/>
    <map measureGroup="1" dimension="1"/>
    <map measureGroup="2" dimension="3"/>
    <map measureGroup="3" dimension="0"/>
    <map measureGroup="3" dimension="1"/>
    <map measureGroup="3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0F0C8A-F053-4DB2-8E11-B4ED6A9BFBEE}" name="PivotTable1" cacheId="187" applyNumberFormats="0" applyBorderFormats="0" applyFontFormats="0" applyPatternFormats="0" applyAlignmentFormats="0" applyWidthHeightFormats="1" dataCaption="Values" tag="1454e2e7-368c-48bd-82f7-6396b6468381" updatedVersion="8" minRefreshableVersion="3" useAutoFormatting="1" itemPrintTitles="1" createdVersion="5" indent="0" compact="0" compactData="0" multipleFieldFilters="0">
  <location ref="B4:F17" firstHeaderRow="0" firstDataRow="1" firstDataCol="1"/>
  <pivotFields count="5">
    <pivotField axis="axisRow" compact="0" allDrilled="1" outline="0" subtotalTop="0" showAll="0" dataSourceSort="1" defaultSubtotal="0">
      <items count="12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</items>
    </pivotField>
    <pivotField dataField="1" compact="0" outline="0" subtotalTop="0" showAll="0" defaultSubtota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Rank" fld="1" baseField="0" baseItem="0">
      <extLst>
        <ext xmlns:x14="http://schemas.microsoft.com/office/spreadsheetml/2009/9/main" uri="{E15A36E0-9728-4e99-A89B-3F7291B0FE68}">
          <x14:dataField pivotShowAs="rankDescending"/>
        </ext>
      </extLst>
    </dataField>
    <dataField name="Total Revenue" fld="2" baseField="0" baseItem="0">
      <extLst>
        <ext xmlns:x14="http://schemas.microsoft.com/office/spreadsheetml/2009/9/main" uri="{E15A36E0-9728-4e99-A89B-3F7291B0FE68}">
          <x14:dataField sourceField="1" uniqueName="[__Xl2].[Measures].[Sum of Revenue]"/>
        </ext>
      </extLst>
    </dataField>
    <dataField name="Running Total" fld="3" showDataAs="runTotal" baseField="0" baseItem="0">
      <extLst>
        <ext xmlns:x14="http://schemas.microsoft.com/office/spreadsheetml/2009/9/main" uri="{E15A36E0-9728-4e99-A89B-3F7291B0FE68}">
          <x14:dataField sourceField="1" uniqueName="[__Xl3].[Measures].[Sum of Revenue]"/>
        </ext>
      </extLst>
    </dataField>
    <dataField name="Percentage" fld="4" baseField="0" baseItem="0" numFmtId="10">
      <extLst>
        <ext xmlns:x14="http://schemas.microsoft.com/office/spreadsheetml/2009/9/main" uri="{E15A36E0-9728-4e99-A89B-3F7291B0FE68}">
          <x14:dataField pivotShowAs="percentOfRunningTotal" sourceField="1" uniqueName="[__Xl4].[Measures].[Sum of Revenue]"/>
        </ext>
      </extLst>
    </dataField>
  </dataFields>
  <pivotHierarchies count="4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Percentag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21" showRowHeaders="1" showColHeaders="1" showRowStripes="0" showColStripes="0" showLastColumn="1"/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E870C1-46DC-406B-A8A2-56471258CBBC}" name="PivotTable2" cacheId="190" applyNumberFormats="0" applyBorderFormats="0" applyFontFormats="0" applyPatternFormats="0" applyAlignmentFormats="0" applyWidthHeightFormats="1" dataCaption="Values" tag="816f3aa2-1b56-4d98-b5d6-76d9f81ffa2e" updatedVersion="8" minRefreshableVersion="3" useAutoFormatting="1" subtotalHiddenItems="1" itemPrintTitles="1" createdVersion="5" indent="0" compact="0" outline="1" outlineData="1" compactData="0" multipleFieldFilters="0">
  <location ref="B4:E25" firstHeaderRow="0" firstDataRow="1" firstDataCol="2"/>
  <pivotFields count="4">
    <pivotField axis="axisRow" compact="0" allDrilled="1" showAll="0" sortType="descending" defaultAttributeDrillState="1">
      <items count="6">
        <item x="0"/>
        <item x="1"/>
        <item x="2"/>
        <item x="3"/>
        <item x="4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Row" compact="0" allDrilled="1" showAll="0" sortType="descending" defaultAttributeDrillState="1">
      <items count="16">
        <item x="5"/>
        <item x="14"/>
        <item x="13"/>
        <item x="8"/>
        <item x="7"/>
        <item x="4"/>
        <item x="12"/>
        <item x="6"/>
        <item x="2"/>
        <item x="11"/>
        <item x="3"/>
        <item x="10"/>
        <item x="1"/>
        <item x="0"/>
        <item x="9"/>
        <item t="default"/>
      </items>
    </pivotField>
    <pivotField dataField="1" compact="0" showAll="0" defaultSubtotal="0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0"/>
    <field x="1"/>
  </rowFields>
  <rowItems count="21">
    <i>
      <x v="2"/>
    </i>
    <i r="1">
      <x v="3"/>
    </i>
    <i r="1">
      <x v="4"/>
    </i>
    <i r="1">
      <x v="7"/>
    </i>
    <i>
      <x v="4"/>
    </i>
    <i r="1">
      <x v="1"/>
    </i>
    <i r="1">
      <x v="2"/>
    </i>
    <i r="1">
      <x v="6"/>
    </i>
    <i>
      <x/>
    </i>
    <i r="1">
      <x v="8"/>
    </i>
    <i r="1">
      <x v="12"/>
    </i>
    <i r="1">
      <x v="13"/>
    </i>
    <i>
      <x v="1"/>
    </i>
    <i r="1">
      <x/>
    </i>
    <i r="1">
      <x v="5"/>
    </i>
    <i r="1">
      <x v="10"/>
    </i>
    <i>
      <x v="3"/>
    </i>
    <i r="1">
      <x v="9"/>
    </i>
    <i r="1">
      <x v="11"/>
    </i>
    <i r="1"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Total Revenue" fld="2" baseField="0" baseItem="0"/>
    <dataField name="Sum of Revenue" fld="3" showDataAs="percentOfCol" baseField="0" baseItem="2" numFmtId="10">
      <extLst>
        <ext xmlns:x14="http://schemas.microsoft.com/office/spreadsheetml/2009/9/main" uri="{E15A36E0-9728-4e99-A89B-3F7291B0FE68}">
          <x14:dataField sourceField="2" uniqueName="[__Xl2].[Measures].[Sum of Revenue]"/>
        </ext>
      </extLst>
    </dataField>
  </dataFields>
  <pivotHierarchies count="4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Total Reven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21" showRowHeaders="1" showColHeaders="1" showRowStripes="0" showColStripes="0" showLastColumn="1"/>
  <rowHierarchiesUsage count="2">
    <rowHierarchyUsage hierarchyUsage="1"/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gents]"/>
        <x15:activeTabTopLevelEntity name="[Sale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7FD06E-3A90-49C7-852D-8D074D3567ED}" name="PivotTable3" cacheId="193" applyNumberFormats="0" applyBorderFormats="0" applyFontFormats="0" applyPatternFormats="0" applyAlignmentFormats="0" applyWidthHeightFormats="1" dataCaption="Values" missingCaption="0" tag="33d15dc0-a262-4af0-a002-bc4c5f0aad34" updatedVersion="8" minRefreshableVersion="3" useAutoFormatting="1" itemPrintTitles="1" createdVersion="5" indent="0" compact="0" compactData="0" multipleFieldFilters="0" rowHeaderCaption="Name" colHeaderCaption="Date(Month)">
  <location ref="B4:O21" firstHeaderRow="1" firstDataRow="2" firstDataCol="1"/>
  <pivotFields count="3">
    <pivotField axis="axisCol" compact="0" allDrilled="1" outline="0" showAll="0" dataSourceSort="1" defaultSubtotal="0">
      <items count="12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</items>
    </pivotField>
    <pivotField axis="axisRow" compact="0" allDrilled="1" outline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compact="0" outline="0" showAll="0" defaultSubtotal="0"/>
  </pivotFields>
  <rowFields count="1">
    <field x="1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Clients" fld="2" subtotal="count" baseField="1" baseItem="0"/>
  </dataFields>
  <pivotHierarchies count="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lients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21" showRowHeaders="1" showColHeaders="1" showRowStripes="0" showColStripes="0" showLastColumn="1"/>
  <rowHierarchiesUsage count="1">
    <rowHierarchyUsage hierarchyUsage="2"/>
  </rowHierarchiesUsage>
  <colHierarchiesUsage count="1">
    <colHierarchyUsage hierarchyUsage="2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les]"/>
        <x15:activeTabTopLevelEntity name="[Agents]"/>
        <x15:activeTabTopLevelEntity name="[Hospital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DBB996-86AE-4EF3-816F-5930F1229147}" name="PivotTable4" cacheId="199" applyNumberFormats="0" applyBorderFormats="0" applyFontFormats="0" applyPatternFormats="0" applyAlignmentFormats="0" applyWidthHeightFormats="1" dataCaption="Values" tag="a2b29e12-d21e-4bc6-9d92-ed90503fb9de" updatedVersion="8" minRefreshableVersion="3" useAutoFormatting="1" itemPrintTitles="1" createdVersion="5" indent="0" compact="0" compactData="0" multipleFieldFilters="0">
  <location ref="B4:G20" firstHeaderRow="0" firstDataRow="1" firstDataCol="1"/>
  <pivotFields count="6">
    <pivotField axis="axisRow" compact="0" allDrilled="1" outline="0" subtotalTop="0" showAll="0" dataSourceSort="1" defaultSubtotal="0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Base Salary" fld="2" baseField="0" baseItem="0"/>
    <dataField name="Commission Rate" fld="1" baseField="0" baseItem="0"/>
    <dataField name="Revenue Generated" fld="3" baseField="0" baseItem="0"/>
    <dataField fld="4" subtotal="count" baseField="0" baseItem="0"/>
    <dataField fld="5" subtotal="count" baseField="0" baseItem="0"/>
  </dataFields>
  <pivotHierarchies count="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Revenue Generated"/>
    <pivotHierarchy dragToData="1" caption="Base Salary"/>
    <pivotHierarchy dragToData="1" caption="Commission Rate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21" showRowHeaders="1" showColHeaders="1" showRowStripes="0" showColStripes="0" showLastColumn="1"/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gents]"/>
        <x15:activeTabTopLevelEntity name="[Sal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Badge">
  <a:themeElements>
    <a:clrScheme name="Badge">
      <a:dk1>
        <a:sysClr val="windowText" lastClr="000000"/>
      </a:dk1>
      <a:lt1>
        <a:sysClr val="window" lastClr="FFFFFF"/>
      </a:lt1>
      <a:dk2>
        <a:srgbClr val="2A1A00"/>
      </a:dk2>
      <a:lt2>
        <a:srgbClr val="F3F3F2"/>
      </a:lt2>
      <a:accent1>
        <a:srgbClr val="F8B323"/>
      </a:accent1>
      <a:accent2>
        <a:srgbClr val="656A59"/>
      </a:accent2>
      <a:accent3>
        <a:srgbClr val="46B2B5"/>
      </a:accent3>
      <a:accent4>
        <a:srgbClr val="8CAA7E"/>
      </a:accent4>
      <a:accent5>
        <a:srgbClr val="D36F68"/>
      </a:accent5>
      <a:accent6>
        <a:srgbClr val="826276"/>
      </a:accent6>
      <a:hlink>
        <a:srgbClr val="46B2B5"/>
      </a:hlink>
      <a:folHlink>
        <a:srgbClr val="A46694"/>
      </a:folHlink>
    </a:clrScheme>
    <a:fontScheme name="Badge">
      <a:majorFont>
        <a:latin typeface="Impact" panose="020B080603090205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Gill Sans MT" panose="020B0502020104020203"/>
        <a:ea typeface=""/>
        <a:cs typeface=""/>
        <a:font script="Grek" typeface="Corbel"/>
        <a:font script="Cyrl" typeface="Corbel"/>
        <a:font script="Jpan" typeface="メイリオ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Badg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in">
          <a:solidFill>
            <a:schemeClr val="phClr"/>
          </a:solidFill>
          <a:prstDash val="solid"/>
        </a:ln>
        <a:ln w="12700" cap="flat" cmpd="sng" algn="in">
          <a:solidFill>
            <a:schemeClr val="phClr"/>
          </a:solidFill>
          <a:prstDash val="solid"/>
        </a:ln>
        <a:ln w="50800" cap="flat" cmpd="sng" algn="in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38100" dist="25400" dir="5400000" algn="ctr" rotWithShape="0">
              <a:srgbClr val="000000">
                <a:alpha val="2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adge" id="{71A07785-5930-41D4-9A83-E23602B48E98}" vid="{771EA782-DFA6-45B1-AEA3-661F1715B310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AFDAB-0EB6-4150-855B-EF89FD60FB2F}">
  <sheetPr codeName="Sheet1">
    <tabColor rgb="FF92D050"/>
  </sheetPr>
  <dimension ref="A1:C9"/>
  <sheetViews>
    <sheetView workbookViewId="0">
      <selection activeCell="C19" sqref="C19"/>
    </sheetView>
  </sheetViews>
  <sheetFormatPr defaultRowHeight="17.25" x14ac:dyDescent="0.35"/>
  <cols>
    <col min="1" max="1" width="15.375" customWidth="1"/>
    <col min="2" max="2" width="29.875" customWidth="1"/>
    <col min="3" max="3" width="49.25" customWidth="1"/>
  </cols>
  <sheetData>
    <row r="1" spans="1:3" ht="25.5" x14ac:dyDescent="0.35">
      <c r="A1" s="10" t="s">
        <v>62</v>
      </c>
    </row>
    <row r="3" spans="1:3" ht="25.5" customHeight="1" x14ac:dyDescent="0.35">
      <c r="A3" s="44" t="s">
        <v>51</v>
      </c>
      <c r="B3" s="47" t="s">
        <v>63</v>
      </c>
      <c r="C3" s="48"/>
    </row>
    <row r="5" spans="1:3" x14ac:dyDescent="0.35">
      <c r="A5" s="46" t="s">
        <v>64</v>
      </c>
      <c r="B5" s="46"/>
      <c r="C5" s="46"/>
    </row>
    <row r="6" spans="1:3" ht="22.5" customHeight="1" x14ac:dyDescent="0.35">
      <c r="A6" s="11" t="s">
        <v>65</v>
      </c>
      <c r="B6" s="12" t="s">
        <v>66</v>
      </c>
      <c r="C6" s="13" t="s">
        <v>67</v>
      </c>
    </row>
    <row r="7" spans="1:3" ht="22.5" customHeight="1" x14ac:dyDescent="0.35">
      <c r="A7" s="11" t="s">
        <v>68</v>
      </c>
      <c r="B7" s="12" t="s">
        <v>69</v>
      </c>
      <c r="C7" s="13" t="s">
        <v>70</v>
      </c>
    </row>
    <row r="8" spans="1:3" ht="22.5" customHeight="1" x14ac:dyDescent="0.35">
      <c r="A8" s="11" t="s">
        <v>71</v>
      </c>
      <c r="B8" s="12" t="s">
        <v>72</v>
      </c>
      <c r="C8" s="13" t="s">
        <v>73</v>
      </c>
    </row>
    <row r="9" spans="1:3" ht="22.5" customHeight="1" x14ac:dyDescent="0.35">
      <c r="A9" s="11" t="s">
        <v>74</v>
      </c>
      <c r="B9" s="12" t="s">
        <v>75</v>
      </c>
      <c r="C9" s="13" t="s">
        <v>76</v>
      </c>
    </row>
  </sheetData>
  <mergeCells count="2">
    <mergeCell ref="A5:C5"/>
    <mergeCell ref="B3:C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025B9-CD11-40C7-A3E2-2608E9D1E9FD}">
  <sheetPr codeName="Sheet2">
    <tabColor rgb="FF92D050"/>
  </sheetPr>
  <dimension ref="B1:G37"/>
  <sheetViews>
    <sheetView tabSelected="1" workbookViewId="0">
      <selection activeCell="E42" sqref="E42"/>
    </sheetView>
  </sheetViews>
  <sheetFormatPr defaultColWidth="9.125" defaultRowHeight="17.25" x14ac:dyDescent="0.35"/>
  <cols>
    <col min="1" max="1" width="3" style="15" customWidth="1"/>
    <col min="2" max="2" width="3.125" style="15" customWidth="1"/>
    <col min="3" max="3" width="9.125" style="15"/>
    <col min="4" max="5" width="16.625" style="15" customWidth="1"/>
    <col min="6" max="6" width="11" style="15" customWidth="1"/>
    <col min="7" max="7" width="3.5" style="15" customWidth="1"/>
    <col min="8" max="16384" width="9.125" style="15"/>
  </cols>
  <sheetData>
    <row r="1" spans="2:7" ht="23.25" x14ac:dyDescent="0.35">
      <c r="B1" s="14" t="s">
        <v>62</v>
      </c>
    </row>
    <row r="2" spans="2:7" ht="21.75" x14ac:dyDescent="0.45">
      <c r="B2" s="16" t="s">
        <v>77</v>
      </c>
    </row>
    <row r="3" spans="2:7" ht="22.5" thickBot="1" x14ac:dyDescent="0.5">
      <c r="C3" s="16"/>
    </row>
    <row r="4" spans="2:7" ht="21.75" x14ac:dyDescent="0.45">
      <c r="B4" s="17"/>
      <c r="C4" s="18" t="s">
        <v>78</v>
      </c>
      <c r="D4" s="19"/>
      <c r="E4" s="19"/>
      <c r="F4" s="19"/>
      <c r="G4" s="20"/>
    </row>
    <row r="5" spans="2:7" x14ac:dyDescent="0.35">
      <c r="B5" s="21"/>
      <c r="C5" s="22" t="s">
        <v>79</v>
      </c>
      <c r="D5" s="22" t="s">
        <v>80</v>
      </c>
      <c r="E5" s="22" t="s">
        <v>81</v>
      </c>
      <c r="F5" s="22" t="s">
        <v>82</v>
      </c>
      <c r="G5" s="23"/>
    </row>
    <row r="6" spans="2:7" x14ac:dyDescent="0.35">
      <c r="B6" s="21"/>
      <c r="C6" s="24">
        <f>MAX('Driving Itinerary'!B:B)+1</f>
        <v>6</v>
      </c>
      <c r="D6" s="45" t="s">
        <v>92</v>
      </c>
      <c r="E6" s="45"/>
      <c r="F6" s="24" t="str" cm="1">
        <f t="array" ref="F6">IFERROR(INDEX(distance_table,MATCH(D6,cities,0)+1,MATCH(E6,cities,0)+1)," ")</f>
        <v xml:space="preserve"> </v>
      </c>
      <c r="G6" s="23"/>
    </row>
    <row r="7" spans="2:7" hidden="1" x14ac:dyDescent="0.35">
      <c r="B7" s="21"/>
      <c r="C7" s="25"/>
      <c r="D7" s="25" t="s">
        <v>83</v>
      </c>
      <c r="E7" s="25" t="s">
        <v>83</v>
      </c>
      <c r="F7" s="25"/>
      <c r="G7" s="23"/>
    </row>
    <row r="8" spans="2:7" hidden="1" x14ac:dyDescent="0.35">
      <c r="B8" s="21"/>
      <c r="C8" s="25"/>
      <c r="D8" s="25" t="s">
        <v>84</v>
      </c>
      <c r="E8" s="25" t="s">
        <v>84</v>
      </c>
      <c r="F8" s="25"/>
      <c r="G8" s="23"/>
    </row>
    <row r="9" spans="2:7" hidden="1" x14ac:dyDescent="0.35">
      <c r="B9" s="21"/>
      <c r="C9" s="25"/>
      <c r="D9" s="25" t="s">
        <v>85</v>
      </c>
      <c r="E9" s="25" t="s">
        <v>85</v>
      </c>
      <c r="F9" s="25"/>
      <c r="G9" s="23"/>
    </row>
    <row r="10" spans="2:7" hidden="1" x14ac:dyDescent="0.35">
      <c r="B10" s="21"/>
      <c r="C10" s="25"/>
      <c r="D10" s="25" t="s">
        <v>86</v>
      </c>
      <c r="E10" s="25" t="s">
        <v>86</v>
      </c>
      <c r="F10" s="25"/>
      <c r="G10" s="23"/>
    </row>
    <row r="11" spans="2:7" hidden="1" x14ac:dyDescent="0.35">
      <c r="B11" s="21"/>
      <c r="C11" s="25"/>
      <c r="D11" s="25" t="s">
        <v>87</v>
      </c>
      <c r="E11" s="25" t="s">
        <v>87</v>
      </c>
      <c r="F11" s="25"/>
      <c r="G11" s="23"/>
    </row>
    <row r="12" spans="2:7" hidden="1" x14ac:dyDescent="0.35">
      <c r="B12" s="21"/>
      <c r="C12" s="25"/>
      <c r="D12" s="25" t="s">
        <v>88</v>
      </c>
      <c r="E12" s="25" t="s">
        <v>88</v>
      </c>
      <c r="F12" s="25"/>
      <c r="G12" s="23"/>
    </row>
    <row r="13" spans="2:7" hidden="1" x14ac:dyDescent="0.35">
      <c r="B13" s="21"/>
      <c r="C13" s="25"/>
      <c r="D13" s="25" t="s">
        <v>89</v>
      </c>
      <c r="E13" s="25" t="s">
        <v>89</v>
      </c>
      <c r="F13" s="25"/>
      <c r="G13" s="23"/>
    </row>
    <row r="14" spans="2:7" hidden="1" x14ac:dyDescent="0.35">
      <c r="B14" s="21"/>
      <c r="C14" s="25"/>
      <c r="D14" s="25" t="s">
        <v>90</v>
      </c>
      <c r="E14" s="25" t="s">
        <v>90</v>
      </c>
      <c r="F14" s="25"/>
      <c r="G14" s="23"/>
    </row>
    <row r="15" spans="2:7" hidden="1" x14ac:dyDescent="0.35">
      <c r="B15" s="21"/>
      <c r="C15" s="25"/>
      <c r="D15" s="25" t="s">
        <v>91</v>
      </c>
      <c r="E15" s="25" t="s">
        <v>91</v>
      </c>
      <c r="F15" s="25"/>
      <c r="G15" s="23"/>
    </row>
    <row r="16" spans="2:7" hidden="1" x14ac:dyDescent="0.35">
      <c r="B16" s="21"/>
      <c r="C16" s="25"/>
      <c r="D16" s="25" t="s">
        <v>92</v>
      </c>
      <c r="E16" s="25" t="s">
        <v>92</v>
      </c>
      <c r="F16" s="25"/>
      <c r="G16" s="23"/>
    </row>
    <row r="17" spans="2:7" hidden="1" x14ac:dyDescent="0.35">
      <c r="B17" s="21"/>
      <c r="C17" s="25"/>
      <c r="D17" s="25" t="s">
        <v>93</v>
      </c>
      <c r="E17" s="25" t="s">
        <v>93</v>
      </c>
      <c r="F17" s="25"/>
      <c r="G17" s="23"/>
    </row>
    <row r="18" spans="2:7" hidden="1" x14ac:dyDescent="0.35">
      <c r="B18" s="21"/>
      <c r="C18" s="25"/>
      <c r="D18" s="25" t="s">
        <v>94</v>
      </c>
      <c r="E18" s="25" t="s">
        <v>94</v>
      </c>
      <c r="F18" s="25"/>
      <c r="G18" s="23"/>
    </row>
    <row r="19" spans="2:7" hidden="1" x14ac:dyDescent="0.35">
      <c r="B19" s="21"/>
      <c r="C19" s="25"/>
      <c r="D19" s="25" t="s">
        <v>95</v>
      </c>
      <c r="E19" s="25" t="s">
        <v>95</v>
      </c>
      <c r="F19" s="25"/>
      <c r="G19" s="23"/>
    </row>
    <row r="20" spans="2:7" hidden="1" x14ac:dyDescent="0.35">
      <c r="B20" s="21"/>
      <c r="C20" s="25"/>
      <c r="D20" s="25" t="s">
        <v>96</v>
      </c>
      <c r="E20" s="25" t="s">
        <v>96</v>
      </c>
      <c r="F20" s="25"/>
      <c r="G20" s="23"/>
    </row>
    <row r="21" spans="2:7" hidden="1" x14ac:dyDescent="0.35">
      <c r="B21" s="21"/>
      <c r="C21" s="25"/>
      <c r="D21" s="25" t="s">
        <v>97</v>
      </c>
      <c r="E21" s="25" t="s">
        <v>97</v>
      </c>
      <c r="F21" s="25"/>
      <c r="G21" s="23"/>
    </row>
    <row r="22" spans="2:7" hidden="1" x14ac:dyDescent="0.35">
      <c r="B22" s="21"/>
      <c r="C22" s="25"/>
      <c r="D22" s="25" t="s">
        <v>98</v>
      </c>
      <c r="E22" s="25" t="s">
        <v>98</v>
      </c>
      <c r="F22" s="25"/>
      <c r="G22" s="23"/>
    </row>
    <row r="23" spans="2:7" hidden="1" x14ac:dyDescent="0.35">
      <c r="B23" s="21"/>
      <c r="C23" s="25"/>
      <c r="D23" s="25" t="s">
        <v>99</v>
      </c>
      <c r="E23" s="25" t="s">
        <v>99</v>
      </c>
      <c r="F23" s="25"/>
      <c r="G23" s="23"/>
    </row>
    <row r="24" spans="2:7" hidden="1" x14ac:dyDescent="0.35">
      <c r="B24" s="21"/>
      <c r="C24" s="25"/>
      <c r="D24" s="25" t="s">
        <v>100</v>
      </c>
      <c r="E24" s="25" t="s">
        <v>100</v>
      </c>
      <c r="F24" s="25"/>
      <c r="G24" s="23"/>
    </row>
    <row r="25" spans="2:7" hidden="1" x14ac:dyDescent="0.35">
      <c r="B25" s="21"/>
      <c r="C25" s="25"/>
      <c r="D25" s="25" t="s">
        <v>101</v>
      </c>
      <c r="E25" s="25" t="s">
        <v>101</v>
      </c>
      <c r="F25" s="25"/>
      <c r="G25" s="23"/>
    </row>
    <row r="26" spans="2:7" hidden="1" x14ac:dyDescent="0.35">
      <c r="B26" s="21"/>
      <c r="C26" s="25"/>
      <c r="D26" s="25" t="s">
        <v>102</v>
      </c>
      <c r="E26" s="25" t="s">
        <v>102</v>
      </c>
      <c r="F26" s="25"/>
      <c r="G26" s="23"/>
    </row>
    <row r="27" spans="2:7" hidden="1" x14ac:dyDescent="0.35">
      <c r="B27" s="21"/>
      <c r="C27" s="25"/>
      <c r="D27" s="25" t="s">
        <v>103</v>
      </c>
      <c r="E27" s="25" t="s">
        <v>103</v>
      </c>
      <c r="F27" s="25"/>
      <c r="G27" s="23"/>
    </row>
    <row r="28" spans="2:7" hidden="1" x14ac:dyDescent="0.35">
      <c r="B28" s="21"/>
      <c r="C28" s="25"/>
      <c r="D28" s="25" t="s">
        <v>104</v>
      </c>
      <c r="E28" s="25" t="s">
        <v>104</v>
      </c>
      <c r="F28" s="25"/>
      <c r="G28" s="23"/>
    </row>
    <row r="29" spans="2:7" hidden="1" x14ac:dyDescent="0.35">
      <c r="B29" s="21"/>
      <c r="C29" s="25"/>
      <c r="D29" s="25" t="s">
        <v>105</v>
      </c>
      <c r="E29" s="25" t="s">
        <v>105</v>
      </c>
      <c r="F29" s="25"/>
      <c r="G29" s="23"/>
    </row>
    <row r="30" spans="2:7" hidden="1" x14ac:dyDescent="0.35">
      <c r="B30" s="21"/>
      <c r="C30" s="25"/>
      <c r="D30" s="25" t="s">
        <v>106</v>
      </c>
      <c r="E30" s="25" t="s">
        <v>106</v>
      </c>
      <c r="F30" s="25"/>
      <c r="G30" s="23"/>
    </row>
    <row r="31" spans="2:7" hidden="1" x14ac:dyDescent="0.35">
      <c r="B31" s="21"/>
      <c r="C31" s="25"/>
      <c r="D31" s="25" t="s">
        <v>107</v>
      </c>
      <c r="E31" s="25" t="s">
        <v>107</v>
      </c>
      <c r="F31" s="25"/>
      <c r="G31" s="23"/>
    </row>
    <row r="32" spans="2:7" hidden="1" x14ac:dyDescent="0.35">
      <c r="B32" s="21"/>
      <c r="C32" s="25"/>
      <c r="D32" s="25" t="s">
        <v>108</v>
      </c>
      <c r="E32" s="25" t="s">
        <v>108</v>
      </c>
      <c r="F32" s="25"/>
      <c r="G32" s="23"/>
    </row>
    <row r="33" spans="2:7" hidden="1" x14ac:dyDescent="0.35">
      <c r="B33" s="21"/>
      <c r="C33" s="25"/>
      <c r="D33" s="25" t="s">
        <v>109</v>
      </c>
      <c r="E33" s="25" t="s">
        <v>109</v>
      </c>
      <c r="F33" s="25"/>
      <c r="G33" s="23"/>
    </row>
    <row r="34" spans="2:7" x14ac:dyDescent="0.35">
      <c r="B34" s="21"/>
      <c r="C34" s="25"/>
      <c r="D34" s="25"/>
      <c r="E34" s="25"/>
      <c r="F34" s="25"/>
      <c r="G34" s="23"/>
    </row>
    <row r="35" spans="2:7" x14ac:dyDescent="0.35">
      <c r="B35" s="21"/>
      <c r="C35" s="25"/>
      <c r="D35" s="25"/>
      <c r="E35" s="25"/>
      <c r="F35" s="25"/>
      <c r="G35" s="23"/>
    </row>
    <row r="36" spans="2:7" x14ac:dyDescent="0.35">
      <c r="B36" s="21"/>
      <c r="C36" s="25"/>
      <c r="D36" s="25"/>
      <c r="E36" s="25"/>
      <c r="F36" s="25"/>
      <c r="G36" s="23"/>
    </row>
    <row r="37" spans="2:7" ht="18" thickBot="1" x14ac:dyDescent="0.4">
      <c r="B37" s="26"/>
      <c r="C37" s="27"/>
      <c r="D37" s="27"/>
      <c r="E37" s="27"/>
      <c r="F37" s="27"/>
      <c r="G37" s="28"/>
    </row>
  </sheetData>
  <dataValidations count="1">
    <dataValidation type="custom" errorStyle="warning" allowBlank="1" showInputMessage="1" showErrorMessage="1" errorTitle="Invalid Data" error="You either mistyped the city the city name or adding this leg will result in a total driving exceeding 350 miles." sqref="D6:E6" xr:uid="{D2388D02-10B9-45D9-B224-7E67C530BC5F}">
      <formula1>"AND(COUNTIF(cities,D6),SUM($F$6,DIST)&lt;=350"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_Leg">
                <anchor moveWithCells="1" sizeWithCells="1">
                  <from>
                    <xdr:col>2</xdr:col>
                    <xdr:colOff>38100</xdr:colOff>
                    <xdr:row>33</xdr:row>
                    <xdr:rowOff>180975</xdr:rowOff>
                  </from>
                  <to>
                    <xdr:col>4</xdr:col>
                    <xdr:colOff>9525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Miles">
                <anchor moveWithCells="1" sizeWithCells="1">
                  <from>
                    <xdr:col>4</xdr:col>
                    <xdr:colOff>114300</xdr:colOff>
                    <xdr:row>33</xdr:row>
                    <xdr:rowOff>180975</xdr:rowOff>
                  </from>
                  <to>
                    <xdr:col>5</xdr:col>
                    <xdr:colOff>819150</xdr:colOff>
                    <xdr:row>35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F73FCE-BAFD-44D1-B1D0-1DA50FC498A8}">
  <sheetPr codeName="Sheet3">
    <tabColor rgb="FF92D050"/>
  </sheetPr>
  <dimension ref="B1:E13"/>
  <sheetViews>
    <sheetView workbookViewId="0">
      <selection activeCell="B1" sqref="B1:E20"/>
    </sheetView>
  </sheetViews>
  <sheetFormatPr defaultRowHeight="17.25" x14ac:dyDescent="0.35"/>
  <cols>
    <col min="1" max="1" width="4.125" customWidth="1"/>
    <col min="2" max="2" width="15.125" customWidth="1"/>
    <col min="3" max="4" width="16.625" customWidth="1"/>
    <col min="5" max="5" width="11.5" customWidth="1"/>
  </cols>
  <sheetData>
    <row r="1" spans="2:5" ht="23.25" x14ac:dyDescent="0.35">
      <c r="B1" s="49" t="s">
        <v>62</v>
      </c>
      <c r="C1" s="49"/>
      <c r="D1" s="49"/>
    </row>
    <row r="2" spans="2:5" ht="21.75" x14ac:dyDescent="0.45">
      <c r="B2" s="50" t="s">
        <v>110</v>
      </c>
      <c r="C2" s="50"/>
    </row>
    <row r="4" spans="2:5" x14ac:dyDescent="0.35">
      <c r="B4" s="29" t="s">
        <v>111</v>
      </c>
      <c r="C4" s="30">
        <f>SUM(E:E)</f>
        <v>323</v>
      </c>
      <c r="D4" s="31" t="s">
        <v>112</v>
      </c>
    </row>
    <row r="6" spans="2:5" x14ac:dyDescent="0.35">
      <c r="B6" s="32" t="s">
        <v>79</v>
      </c>
      <c r="C6" s="32" t="s">
        <v>80</v>
      </c>
      <c r="D6" s="32" t="s">
        <v>81</v>
      </c>
      <c r="E6" s="32" t="s">
        <v>82</v>
      </c>
    </row>
    <row r="7" spans="2:5" x14ac:dyDescent="0.35">
      <c r="B7" s="33">
        <v>1</v>
      </c>
      <c r="C7" s="33" t="s">
        <v>97</v>
      </c>
      <c r="D7" s="33" t="s">
        <v>85</v>
      </c>
      <c r="E7" s="33">
        <v>13</v>
      </c>
    </row>
    <row r="8" spans="2:5" x14ac:dyDescent="0.35">
      <c r="B8" s="33">
        <v>2</v>
      </c>
      <c r="C8" s="33" t="s">
        <v>85</v>
      </c>
      <c r="D8" s="33" t="s">
        <v>87</v>
      </c>
      <c r="E8" s="33">
        <v>87</v>
      </c>
    </row>
    <row r="9" spans="2:5" x14ac:dyDescent="0.35">
      <c r="B9" s="33">
        <v>3</v>
      </c>
      <c r="C9" s="33" t="s">
        <v>87</v>
      </c>
      <c r="D9" s="33" t="s">
        <v>84</v>
      </c>
      <c r="E9" s="33">
        <v>40</v>
      </c>
    </row>
    <row r="10" spans="2:5" x14ac:dyDescent="0.35">
      <c r="B10" s="33">
        <v>4</v>
      </c>
      <c r="C10" s="33" t="s">
        <v>84</v>
      </c>
      <c r="D10" s="33" t="s">
        <v>94</v>
      </c>
      <c r="E10" s="33">
        <v>49</v>
      </c>
    </row>
    <row r="11" spans="2:5" x14ac:dyDescent="0.35">
      <c r="B11" s="33">
        <v>5</v>
      </c>
      <c r="C11" s="33" t="s">
        <v>94</v>
      </c>
      <c r="D11" s="33" t="s">
        <v>92</v>
      </c>
      <c r="E11" s="33">
        <v>134</v>
      </c>
    </row>
    <row r="12" spans="2:5" ht="18" thickBot="1" x14ac:dyDescent="0.4">
      <c r="B12" s="34" t="s">
        <v>113</v>
      </c>
      <c r="C12" s="35"/>
      <c r="D12" s="35"/>
      <c r="E12" s="35"/>
    </row>
    <row r="13" spans="2:5" ht="18" thickTop="1" x14ac:dyDescent="0.35"/>
  </sheetData>
  <sortState xmlns:xlrd2="http://schemas.microsoft.com/office/spreadsheetml/2017/richdata2" ref="B7:E12">
    <sortCondition ref="B7:B12"/>
  </sortState>
  <mergeCells count="2">
    <mergeCell ref="B1:D1"/>
    <mergeCell ref="B2:C2"/>
  </mergeCells>
  <pageMargins left="0.7" right="0.7" top="0.75" bottom="0.75" header="0.3" footer="0.3"/>
  <pageSetup orientation="landscape" cellComments="atEnd" r:id="rId1"/>
  <headerFooter>
    <oddFooter>&amp;R&amp;D&amp;T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55BE1-7B49-4DBF-8E94-34E42A7F312C}">
  <sheetPr codeName="Sheet4">
    <tabColor rgb="FF92D050"/>
  </sheetPr>
  <dimension ref="B1:AC31"/>
  <sheetViews>
    <sheetView topLeftCell="B1" zoomScale="50" zoomScaleNormal="50" workbookViewId="0">
      <selection activeCell="J17" sqref="J17"/>
    </sheetView>
  </sheetViews>
  <sheetFormatPr defaultRowHeight="17.25" x14ac:dyDescent="0.35"/>
  <cols>
    <col min="1" max="1" width="4.375" customWidth="1"/>
    <col min="2" max="2" width="17" customWidth="1"/>
    <col min="3" max="29" width="12.875" customWidth="1"/>
  </cols>
  <sheetData>
    <row r="1" spans="2:29" ht="23.25" x14ac:dyDescent="0.35">
      <c r="B1" s="36" t="s">
        <v>62</v>
      </c>
    </row>
    <row r="2" spans="2:29" ht="21.75" x14ac:dyDescent="0.45">
      <c r="B2" s="37" t="s">
        <v>114</v>
      </c>
    </row>
    <row r="4" spans="2:29" x14ac:dyDescent="0.35">
      <c r="B4" s="38" t="s">
        <v>115</v>
      </c>
      <c r="C4" s="39" t="s">
        <v>83</v>
      </c>
      <c r="D4" s="39" t="s">
        <v>84</v>
      </c>
      <c r="E4" s="39" t="s">
        <v>85</v>
      </c>
      <c r="F4" s="39" t="s">
        <v>86</v>
      </c>
      <c r="G4" s="39" t="s">
        <v>87</v>
      </c>
      <c r="H4" s="39" t="s">
        <v>88</v>
      </c>
      <c r="I4" s="39" t="s">
        <v>89</v>
      </c>
      <c r="J4" s="39" t="s">
        <v>90</v>
      </c>
      <c r="K4" s="39" t="s">
        <v>91</v>
      </c>
      <c r="L4" s="39" t="s">
        <v>92</v>
      </c>
      <c r="M4" s="39" t="s">
        <v>93</v>
      </c>
      <c r="N4" s="39" t="s">
        <v>94</v>
      </c>
      <c r="O4" s="39" t="s">
        <v>95</v>
      </c>
      <c r="P4" s="39" t="s">
        <v>96</v>
      </c>
      <c r="Q4" s="39" t="s">
        <v>97</v>
      </c>
      <c r="R4" s="39" t="s">
        <v>98</v>
      </c>
      <c r="S4" s="39" t="s">
        <v>99</v>
      </c>
      <c r="T4" s="39" t="s">
        <v>100</v>
      </c>
      <c r="U4" s="39" t="s">
        <v>101</v>
      </c>
      <c r="V4" s="39" t="s">
        <v>102</v>
      </c>
      <c r="W4" s="39" t="s">
        <v>103</v>
      </c>
      <c r="X4" s="39" t="s">
        <v>104</v>
      </c>
      <c r="Y4" s="39" t="s">
        <v>105</v>
      </c>
      <c r="Z4" s="39" t="s">
        <v>106</v>
      </c>
      <c r="AA4" s="39" t="s">
        <v>107</v>
      </c>
      <c r="AB4" s="40" t="s">
        <v>108</v>
      </c>
      <c r="AC4" s="40" t="s">
        <v>109</v>
      </c>
    </row>
    <row r="5" spans="2:29" x14ac:dyDescent="0.35">
      <c r="B5" s="41" t="s">
        <v>83</v>
      </c>
      <c r="C5" s="38">
        <v>0</v>
      </c>
      <c r="D5" s="38">
        <v>207</v>
      </c>
      <c r="E5" s="38">
        <v>141</v>
      </c>
      <c r="F5" s="38">
        <v>159</v>
      </c>
      <c r="G5" s="38">
        <v>187</v>
      </c>
      <c r="H5" s="38">
        <v>40</v>
      </c>
      <c r="I5" s="38">
        <v>214</v>
      </c>
      <c r="J5" s="38">
        <v>35</v>
      </c>
      <c r="K5" s="38">
        <v>169</v>
      </c>
      <c r="L5" s="38">
        <v>167</v>
      </c>
      <c r="M5" s="38">
        <v>190</v>
      </c>
      <c r="N5" s="38">
        <v>118</v>
      </c>
      <c r="O5" s="38">
        <v>112</v>
      </c>
      <c r="P5" s="38">
        <v>119</v>
      </c>
      <c r="Q5" s="38">
        <v>134</v>
      </c>
      <c r="R5" s="38">
        <v>166</v>
      </c>
      <c r="S5" s="38">
        <v>240</v>
      </c>
      <c r="T5" s="38">
        <v>7</v>
      </c>
      <c r="U5" s="38">
        <v>91</v>
      </c>
      <c r="V5" s="38">
        <v>20</v>
      </c>
      <c r="W5" s="38">
        <v>194</v>
      </c>
      <c r="X5" s="38">
        <v>90</v>
      </c>
      <c r="Y5" s="38">
        <v>159</v>
      </c>
      <c r="Z5" s="38">
        <v>81</v>
      </c>
      <c r="AA5" s="38">
        <v>77</v>
      </c>
      <c r="AB5" s="42">
        <v>141</v>
      </c>
      <c r="AC5" s="42">
        <v>185</v>
      </c>
    </row>
    <row r="6" spans="2:29" x14ac:dyDescent="0.35">
      <c r="B6" s="41" t="s">
        <v>84</v>
      </c>
      <c r="C6" s="38">
        <v>207</v>
      </c>
      <c r="D6" s="38">
        <v>0</v>
      </c>
      <c r="E6" s="38">
        <v>70</v>
      </c>
      <c r="F6" s="38">
        <v>63</v>
      </c>
      <c r="G6" s="38">
        <v>40</v>
      </c>
      <c r="H6" s="38">
        <v>117</v>
      </c>
      <c r="I6" s="38">
        <v>45</v>
      </c>
      <c r="J6" s="38">
        <v>195</v>
      </c>
      <c r="K6" s="38">
        <v>73</v>
      </c>
      <c r="L6" s="38">
        <v>193</v>
      </c>
      <c r="M6" s="38">
        <v>39</v>
      </c>
      <c r="N6" s="38">
        <v>49</v>
      </c>
      <c r="O6" s="38">
        <v>191</v>
      </c>
      <c r="P6" s="38">
        <v>310</v>
      </c>
      <c r="Q6" s="38">
        <v>75</v>
      </c>
      <c r="R6" s="38">
        <v>77</v>
      </c>
      <c r="S6" s="38">
        <v>33</v>
      </c>
      <c r="T6" s="38">
        <v>218</v>
      </c>
      <c r="U6" s="38">
        <v>70</v>
      </c>
      <c r="V6" s="38">
        <v>136</v>
      </c>
      <c r="W6" s="38">
        <v>85</v>
      </c>
      <c r="X6" s="38">
        <v>85</v>
      </c>
      <c r="Y6" s="38">
        <v>80</v>
      </c>
      <c r="Z6" s="38">
        <v>135</v>
      </c>
      <c r="AA6" s="38">
        <v>233</v>
      </c>
      <c r="AB6" s="42">
        <v>68</v>
      </c>
      <c r="AC6" s="42">
        <v>36</v>
      </c>
    </row>
    <row r="7" spans="2:29" x14ac:dyDescent="0.35">
      <c r="B7" s="41" t="s">
        <v>85</v>
      </c>
      <c r="C7" s="38">
        <v>141</v>
      </c>
      <c r="D7" s="38">
        <v>70</v>
      </c>
      <c r="E7" s="38">
        <v>0</v>
      </c>
      <c r="F7" s="38">
        <v>40</v>
      </c>
      <c r="G7" s="38">
        <v>87</v>
      </c>
      <c r="H7" s="38">
        <v>45</v>
      </c>
      <c r="I7" s="38">
        <v>195</v>
      </c>
      <c r="J7" s="38">
        <v>73</v>
      </c>
      <c r="K7" s="38">
        <v>193</v>
      </c>
      <c r="L7" s="38">
        <v>39</v>
      </c>
      <c r="M7" s="38">
        <v>49</v>
      </c>
      <c r="N7" s="38">
        <v>191</v>
      </c>
      <c r="O7" s="38">
        <v>310</v>
      </c>
      <c r="P7" s="38">
        <v>75</v>
      </c>
      <c r="Q7" s="38">
        <v>13</v>
      </c>
      <c r="R7" s="38">
        <v>33</v>
      </c>
      <c r="S7" s="38">
        <v>218</v>
      </c>
      <c r="T7" s="38">
        <v>70</v>
      </c>
      <c r="U7" s="38">
        <v>136</v>
      </c>
      <c r="V7" s="38">
        <v>85</v>
      </c>
      <c r="W7" s="38">
        <v>85</v>
      </c>
      <c r="X7" s="38">
        <v>80</v>
      </c>
      <c r="Y7" s="38">
        <v>135</v>
      </c>
      <c r="Z7" s="38">
        <v>233</v>
      </c>
      <c r="AA7" s="42">
        <v>68</v>
      </c>
      <c r="AB7" s="42">
        <v>36</v>
      </c>
      <c r="AC7" s="42">
        <v>45</v>
      </c>
    </row>
    <row r="8" spans="2:29" x14ac:dyDescent="0.35">
      <c r="B8" s="41" t="s">
        <v>86</v>
      </c>
      <c r="C8" s="38">
        <v>159</v>
      </c>
      <c r="D8" s="38">
        <v>63</v>
      </c>
      <c r="E8" s="38">
        <v>40</v>
      </c>
      <c r="F8" s="38">
        <v>0</v>
      </c>
      <c r="G8" s="38">
        <v>220</v>
      </c>
      <c r="H8" s="38">
        <v>57</v>
      </c>
      <c r="I8" s="38">
        <v>32</v>
      </c>
      <c r="J8" s="38">
        <v>144</v>
      </c>
      <c r="K8" s="38">
        <v>58</v>
      </c>
      <c r="L8" s="38">
        <v>184</v>
      </c>
      <c r="M8" s="38">
        <v>47</v>
      </c>
      <c r="N8" s="38">
        <v>53</v>
      </c>
      <c r="O8" s="38">
        <v>261</v>
      </c>
      <c r="P8" s="38">
        <v>258</v>
      </c>
      <c r="Q8" s="38">
        <v>27</v>
      </c>
      <c r="R8" s="38">
        <v>141</v>
      </c>
      <c r="S8" s="38">
        <v>97</v>
      </c>
      <c r="T8" s="38">
        <v>89</v>
      </c>
      <c r="U8" s="38">
        <v>7</v>
      </c>
      <c r="V8" s="38">
        <v>76</v>
      </c>
      <c r="W8" s="38">
        <v>149</v>
      </c>
      <c r="X8" s="38">
        <v>76</v>
      </c>
      <c r="Y8" s="38">
        <v>51</v>
      </c>
      <c r="Z8" s="38">
        <v>83</v>
      </c>
      <c r="AA8" s="38">
        <v>182</v>
      </c>
      <c r="AB8" s="42">
        <v>23</v>
      </c>
      <c r="AC8" s="42">
        <v>34</v>
      </c>
    </row>
    <row r="9" spans="2:29" x14ac:dyDescent="0.35">
      <c r="B9" s="41" t="s">
        <v>87</v>
      </c>
      <c r="C9" s="38">
        <v>187</v>
      </c>
      <c r="D9" s="38">
        <v>40</v>
      </c>
      <c r="E9" s="38">
        <v>87</v>
      </c>
      <c r="F9" s="38">
        <v>220</v>
      </c>
      <c r="G9" s="38">
        <v>0</v>
      </c>
      <c r="H9" s="38">
        <v>196</v>
      </c>
      <c r="I9" s="38">
        <v>209</v>
      </c>
      <c r="J9" s="38">
        <v>197</v>
      </c>
      <c r="K9" s="38">
        <v>344</v>
      </c>
      <c r="L9" s="38">
        <v>87</v>
      </c>
      <c r="M9" s="38">
        <v>262</v>
      </c>
      <c r="N9" s="38">
        <v>182</v>
      </c>
      <c r="O9" s="38">
        <v>82</v>
      </c>
      <c r="P9" s="38">
        <v>115</v>
      </c>
      <c r="Q9" s="38">
        <v>308</v>
      </c>
      <c r="R9" s="38">
        <v>180</v>
      </c>
      <c r="S9" s="38">
        <v>216</v>
      </c>
      <c r="T9" s="38">
        <v>180</v>
      </c>
      <c r="U9" s="38">
        <v>214</v>
      </c>
      <c r="V9" s="38">
        <v>179</v>
      </c>
      <c r="W9" s="38">
        <v>195</v>
      </c>
      <c r="X9" s="38">
        <v>144</v>
      </c>
      <c r="Y9" s="38">
        <v>333</v>
      </c>
      <c r="Z9" s="38">
        <v>255</v>
      </c>
      <c r="AA9" s="38">
        <v>256</v>
      </c>
      <c r="AB9" s="42">
        <v>315</v>
      </c>
      <c r="AC9" s="42">
        <v>219</v>
      </c>
    </row>
    <row r="10" spans="2:29" x14ac:dyDescent="0.35">
      <c r="B10" s="41" t="s">
        <v>88</v>
      </c>
      <c r="C10" s="38">
        <v>40</v>
      </c>
      <c r="D10" s="38">
        <v>117</v>
      </c>
      <c r="E10" s="38">
        <v>45</v>
      </c>
      <c r="F10" s="38">
        <v>57</v>
      </c>
      <c r="G10" s="38">
        <v>196</v>
      </c>
      <c r="H10" s="38">
        <v>0</v>
      </c>
      <c r="I10" s="38">
        <v>73</v>
      </c>
      <c r="J10" s="38">
        <v>63</v>
      </c>
      <c r="K10" s="38">
        <v>100</v>
      </c>
      <c r="L10" s="38">
        <v>158</v>
      </c>
      <c r="M10" s="38">
        <v>100</v>
      </c>
      <c r="N10" s="38">
        <v>83</v>
      </c>
      <c r="O10" s="38">
        <v>129</v>
      </c>
      <c r="P10" s="38">
        <v>161</v>
      </c>
      <c r="Q10" s="38">
        <v>65</v>
      </c>
      <c r="R10" s="38">
        <v>131</v>
      </c>
      <c r="S10" s="38">
        <v>150</v>
      </c>
      <c r="T10" s="38">
        <v>33</v>
      </c>
      <c r="U10" s="38">
        <v>52</v>
      </c>
      <c r="V10" s="38">
        <v>20</v>
      </c>
      <c r="W10" s="38">
        <v>159</v>
      </c>
      <c r="X10" s="38">
        <v>60</v>
      </c>
      <c r="Y10" s="38">
        <v>90</v>
      </c>
      <c r="Z10" s="38">
        <v>38</v>
      </c>
      <c r="AA10" s="38">
        <v>127</v>
      </c>
      <c r="AB10" s="42">
        <v>64</v>
      </c>
      <c r="AC10" s="42">
        <v>86</v>
      </c>
    </row>
    <row r="11" spans="2:29" x14ac:dyDescent="0.35">
      <c r="B11" s="41" t="s">
        <v>89</v>
      </c>
      <c r="C11" s="38">
        <v>214</v>
      </c>
      <c r="D11" s="38">
        <v>45</v>
      </c>
      <c r="E11" s="38">
        <v>195</v>
      </c>
      <c r="F11" s="38">
        <v>32</v>
      </c>
      <c r="G11" s="38">
        <v>209</v>
      </c>
      <c r="H11" s="38">
        <v>73</v>
      </c>
      <c r="I11" s="38">
        <v>0</v>
      </c>
      <c r="J11" s="38">
        <v>175</v>
      </c>
      <c r="K11" s="38">
        <v>80</v>
      </c>
      <c r="L11" s="38">
        <v>171</v>
      </c>
      <c r="M11" s="38">
        <v>47</v>
      </c>
      <c r="N11" s="38">
        <v>33</v>
      </c>
      <c r="O11" s="38">
        <v>169</v>
      </c>
      <c r="P11" s="38">
        <v>185</v>
      </c>
      <c r="Q11" s="38">
        <v>58</v>
      </c>
      <c r="R11" s="38">
        <v>82</v>
      </c>
      <c r="S11" s="38">
        <v>76</v>
      </c>
      <c r="T11" s="38">
        <v>98</v>
      </c>
      <c r="U11" s="38">
        <v>29</v>
      </c>
      <c r="V11" s="38">
        <v>93</v>
      </c>
      <c r="W11" s="38">
        <v>107</v>
      </c>
      <c r="X11" s="38">
        <v>63</v>
      </c>
      <c r="Y11" s="38">
        <v>87</v>
      </c>
      <c r="Z11" s="38">
        <v>114</v>
      </c>
      <c r="AA11" s="38">
        <v>213</v>
      </c>
      <c r="AB11" s="42">
        <v>54</v>
      </c>
      <c r="AC11" s="42">
        <v>10</v>
      </c>
    </row>
    <row r="12" spans="2:29" x14ac:dyDescent="0.35">
      <c r="B12" s="41" t="s">
        <v>90</v>
      </c>
      <c r="C12" s="38">
        <v>35</v>
      </c>
      <c r="D12" s="38">
        <v>195</v>
      </c>
      <c r="E12" s="38">
        <v>73</v>
      </c>
      <c r="F12" s="38">
        <v>144</v>
      </c>
      <c r="G12" s="38">
        <v>197</v>
      </c>
      <c r="H12" s="38">
        <v>63</v>
      </c>
      <c r="I12" s="38">
        <v>175</v>
      </c>
      <c r="J12" s="38">
        <v>0</v>
      </c>
      <c r="K12" s="38">
        <v>151</v>
      </c>
      <c r="L12" s="38">
        <v>195</v>
      </c>
      <c r="M12" s="38">
        <v>172</v>
      </c>
      <c r="N12" s="38">
        <v>229</v>
      </c>
      <c r="O12" s="38">
        <v>122</v>
      </c>
      <c r="P12" s="38">
        <v>112</v>
      </c>
      <c r="Q12" s="38">
        <v>116</v>
      </c>
      <c r="R12" s="38">
        <v>266</v>
      </c>
      <c r="S12" s="38">
        <v>222</v>
      </c>
      <c r="T12" s="38">
        <v>40</v>
      </c>
      <c r="U12" s="38">
        <v>147</v>
      </c>
      <c r="V12" s="38">
        <v>54</v>
      </c>
      <c r="W12" s="38">
        <v>274</v>
      </c>
      <c r="X12" s="38">
        <v>180</v>
      </c>
      <c r="Y12" s="38">
        <v>141</v>
      </c>
      <c r="Z12" s="38">
        <v>63</v>
      </c>
      <c r="AA12" s="38">
        <v>44</v>
      </c>
      <c r="AB12" s="42">
        <v>123</v>
      </c>
      <c r="AC12" s="42">
        <v>166</v>
      </c>
    </row>
    <row r="13" spans="2:29" x14ac:dyDescent="0.35">
      <c r="B13" s="41" t="s">
        <v>91</v>
      </c>
      <c r="C13" s="38">
        <v>169</v>
      </c>
      <c r="D13" s="38">
        <v>73</v>
      </c>
      <c r="E13" s="38">
        <v>193</v>
      </c>
      <c r="F13" s="38">
        <v>58</v>
      </c>
      <c r="G13" s="38">
        <v>344</v>
      </c>
      <c r="H13" s="38">
        <v>100</v>
      </c>
      <c r="I13" s="38">
        <v>80</v>
      </c>
      <c r="J13" s="38">
        <v>151</v>
      </c>
      <c r="K13" s="38">
        <v>0</v>
      </c>
      <c r="L13" s="38">
        <v>258</v>
      </c>
      <c r="M13" s="38">
        <v>33</v>
      </c>
      <c r="N13" s="38">
        <v>113</v>
      </c>
      <c r="O13" s="38">
        <v>269</v>
      </c>
      <c r="P13" s="38">
        <v>266</v>
      </c>
      <c r="Q13" s="38">
        <v>37</v>
      </c>
      <c r="R13" s="38">
        <v>150</v>
      </c>
      <c r="S13" s="38">
        <v>106</v>
      </c>
      <c r="T13" s="38">
        <v>175</v>
      </c>
      <c r="U13" s="38">
        <v>65</v>
      </c>
      <c r="V13" s="38">
        <v>119</v>
      </c>
      <c r="W13" s="38">
        <v>158</v>
      </c>
      <c r="X13" s="38">
        <v>150</v>
      </c>
      <c r="Y13" s="38">
        <v>11</v>
      </c>
      <c r="Z13" s="38">
        <v>91</v>
      </c>
      <c r="AA13" s="38">
        <v>189</v>
      </c>
      <c r="AB13" s="42">
        <v>39</v>
      </c>
      <c r="AC13" s="42">
        <v>71</v>
      </c>
    </row>
    <row r="14" spans="2:29" x14ac:dyDescent="0.35">
      <c r="B14" s="41" t="s">
        <v>92</v>
      </c>
      <c r="C14" s="38">
        <v>167</v>
      </c>
      <c r="D14" s="38">
        <v>193</v>
      </c>
      <c r="E14" s="38">
        <v>39</v>
      </c>
      <c r="F14" s="38">
        <v>184</v>
      </c>
      <c r="G14" s="38">
        <v>87</v>
      </c>
      <c r="H14" s="38">
        <v>158</v>
      </c>
      <c r="I14" s="38">
        <v>171</v>
      </c>
      <c r="J14" s="38">
        <v>195</v>
      </c>
      <c r="K14" s="38">
        <v>258</v>
      </c>
      <c r="L14" s="38">
        <v>0</v>
      </c>
      <c r="M14" s="38">
        <v>226</v>
      </c>
      <c r="N14" s="38">
        <v>134</v>
      </c>
      <c r="O14" s="38">
        <v>105</v>
      </c>
      <c r="P14" s="38">
        <v>164</v>
      </c>
      <c r="Q14" s="38">
        <v>210</v>
      </c>
      <c r="R14" s="38">
        <v>127</v>
      </c>
      <c r="S14" s="38">
        <v>163</v>
      </c>
      <c r="T14" s="38">
        <v>160</v>
      </c>
      <c r="U14" s="38">
        <v>177</v>
      </c>
      <c r="V14" s="38">
        <v>150</v>
      </c>
      <c r="W14" s="38">
        <v>136</v>
      </c>
      <c r="X14" s="38">
        <v>108</v>
      </c>
      <c r="Y14" s="38">
        <v>266</v>
      </c>
      <c r="Z14" s="38">
        <v>195</v>
      </c>
      <c r="AA14" s="38">
        <v>237</v>
      </c>
      <c r="AB14" s="42">
        <v>206</v>
      </c>
      <c r="AC14" s="42">
        <v>182</v>
      </c>
    </row>
    <row r="15" spans="2:29" x14ac:dyDescent="0.35">
      <c r="B15" s="41" t="s">
        <v>93</v>
      </c>
      <c r="C15" s="38">
        <v>190</v>
      </c>
      <c r="D15" s="38">
        <v>39</v>
      </c>
      <c r="E15" s="38">
        <v>49</v>
      </c>
      <c r="F15" s="38">
        <v>47</v>
      </c>
      <c r="G15" s="38">
        <v>262</v>
      </c>
      <c r="H15" s="38">
        <v>100</v>
      </c>
      <c r="I15" s="38">
        <v>47</v>
      </c>
      <c r="J15" s="38">
        <v>172</v>
      </c>
      <c r="K15" s="38">
        <v>33</v>
      </c>
      <c r="L15" s="38">
        <v>226</v>
      </c>
      <c r="M15" s="38">
        <v>0</v>
      </c>
      <c r="N15" s="38">
        <v>80</v>
      </c>
      <c r="O15" s="38">
        <v>291</v>
      </c>
      <c r="P15" s="38">
        <v>289</v>
      </c>
      <c r="Q15" s="38">
        <v>54</v>
      </c>
      <c r="R15" s="38">
        <v>117</v>
      </c>
      <c r="S15" s="38">
        <v>73</v>
      </c>
      <c r="T15" s="38">
        <v>197</v>
      </c>
      <c r="U15" s="38">
        <v>49</v>
      </c>
      <c r="V15" s="38">
        <v>115</v>
      </c>
      <c r="W15" s="38">
        <v>125</v>
      </c>
      <c r="X15" s="38">
        <v>118</v>
      </c>
      <c r="Y15" s="38">
        <v>40</v>
      </c>
      <c r="Z15" s="38">
        <v>114</v>
      </c>
      <c r="AA15" s="38">
        <v>212</v>
      </c>
      <c r="AB15" s="42">
        <v>47</v>
      </c>
      <c r="AC15" s="42">
        <v>39</v>
      </c>
    </row>
    <row r="16" spans="2:29" x14ac:dyDescent="0.35">
      <c r="B16" s="41" t="s">
        <v>94</v>
      </c>
      <c r="C16" s="38">
        <v>118</v>
      </c>
      <c r="D16" s="38">
        <v>49</v>
      </c>
      <c r="E16" s="38">
        <v>191</v>
      </c>
      <c r="F16" s="38">
        <v>53</v>
      </c>
      <c r="G16" s="38">
        <v>182</v>
      </c>
      <c r="H16" s="38">
        <v>83</v>
      </c>
      <c r="I16" s="38">
        <v>33</v>
      </c>
      <c r="J16" s="38">
        <v>229</v>
      </c>
      <c r="K16" s="38">
        <v>113</v>
      </c>
      <c r="L16" s="38">
        <v>134</v>
      </c>
      <c r="M16" s="38">
        <v>80</v>
      </c>
      <c r="N16" s="38">
        <v>0</v>
      </c>
      <c r="O16" s="38">
        <v>145</v>
      </c>
      <c r="P16" s="38">
        <v>160</v>
      </c>
      <c r="Q16" s="38">
        <v>80</v>
      </c>
      <c r="R16" s="38">
        <v>51</v>
      </c>
      <c r="S16" s="38">
        <v>39</v>
      </c>
      <c r="T16" s="38">
        <v>112</v>
      </c>
      <c r="U16" s="38">
        <v>53</v>
      </c>
      <c r="V16" s="38">
        <v>100</v>
      </c>
      <c r="W16" s="38">
        <v>76</v>
      </c>
      <c r="X16" s="38">
        <v>39</v>
      </c>
      <c r="Y16" s="38">
        <v>120</v>
      </c>
      <c r="Z16" s="38">
        <v>136</v>
      </c>
      <c r="AA16" s="38">
        <v>234</v>
      </c>
      <c r="AB16" s="42">
        <v>76</v>
      </c>
      <c r="AC16" s="42">
        <v>43</v>
      </c>
    </row>
    <row r="17" spans="2:29" x14ac:dyDescent="0.35">
      <c r="B17" s="41" t="s">
        <v>95</v>
      </c>
      <c r="C17" s="38">
        <v>112</v>
      </c>
      <c r="D17" s="38">
        <v>191</v>
      </c>
      <c r="E17" s="38">
        <v>310</v>
      </c>
      <c r="F17" s="38">
        <v>261</v>
      </c>
      <c r="G17" s="38">
        <v>82</v>
      </c>
      <c r="H17" s="38">
        <v>129</v>
      </c>
      <c r="I17" s="38">
        <v>169</v>
      </c>
      <c r="J17" s="38">
        <v>122</v>
      </c>
      <c r="K17" s="38">
        <v>269</v>
      </c>
      <c r="L17" s="38">
        <v>105</v>
      </c>
      <c r="M17" s="38">
        <v>291</v>
      </c>
      <c r="N17" s="38">
        <v>145</v>
      </c>
      <c r="O17" s="38">
        <v>0</v>
      </c>
      <c r="P17" s="38">
        <v>59</v>
      </c>
      <c r="Q17" s="38">
        <v>238</v>
      </c>
      <c r="R17" s="38">
        <v>144</v>
      </c>
      <c r="S17" s="38">
        <v>170</v>
      </c>
      <c r="T17" s="38">
        <v>110</v>
      </c>
      <c r="U17" s="38">
        <v>182</v>
      </c>
      <c r="V17" s="38">
        <v>112</v>
      </c>
      <c r="W17" s="38">
        <v>168</v>
      </c>
      <c r="X17" s="38">
        <v>106</v>
      </c>
      <c r="Y17" s="38">
        <v>263</v>
      </c>
      <c r="Z17" s="38">
        <v>185</v>
      </c>
      <c r="AA17" s="38">
        <v>185</v>
      </c>
      <c r="AB17" s="42">
        <v>245</v>
      </c>
      <c r="AC17" s="42">
        <v>184</v>
      </c>
    </row>
    <row r="18" spans="2:29" x14ac:dyDescent="0.35">
      <c r="B18" s="41" t="s">
        <v>96</v>
      </c>
      <c r="C18" s="38">
        <v>119</v>
      </c>
      <c r="D18" s="38">
        <v>310</v>
      </c>
      <c r="E18" s="38">
        <v>75</v>
      </c>
      <c r="F18" s="38">
        <v>258</v>
      </c>
      <c r="G18" s="38">
        <v>115</v>
      </c>
      <c r="H18" s="38">
        <v>161</v>
      </c>
      <c r="I18" s="38">
        <v>185</v>
      </c>
      <c r="J18" s="38">
        <v>112</v>
      </c>
      <c r="K18" s="38">
        <v>266</v>
      </c>
      <c r="L18" s="38">
        <v>164</v>
      </c>
      <c r="M18" s="38">
        <v>289</v>
      </c>
      <c r="N18" s="38">
        <v>160</v>
      </c>
      <c r="O18" s="38">
        <v>59</v>
      </c>
      <c r="P18" s="38">
        <v>0</v>
      </c>
      <c r="Q18" s="38">
        <v>231</v>
      </c>
      <c r="R18" s="38">
        <v>203</v>
      </c>
      <c r="S18" s="38">
        <v>337</v>
      </c>
      <c r="T18" s="38">
        <v>125</v>
      </c>
      <c r="U18" s="38">
        <v>262</v>
      </c>
      <c r="V18" s="38">
        <v>141</v>
      </c>
      <c r="W18" s="38">
        <v>226</v>
      </c>
      <c r="X18" s="38">
        <v>121</v>
      </c>
      <c r="Y18" s="38">
        <v>256</v>
      </c>
      <c r="Z18" s="38">
        <v>178</v>
      </c>
      <c r="AA18" s="38">
        <v>157</v>
      </c>
      <c r="AB18" s="42">
        <v>238</v>
      </c>
      <c r="AC18" s="42">
        <v>282</v>
      </c>
    </row>
    <row r="19" spans="2:29" x14ac:dyDescent="0.35">
      <c r="B19" s="41" t="s">
        <v>97</v>
      </c>
      <c r="C19" s="38">
        <v>134</v>
      </c>
      <c r="D19" s="38">
        <v>75</v>
      </c>
      <c r="E19" s="38">
        <v>13</v>
      </c>
      <c r="F19" s="38">
        <v>27</v>
      </c>
      <c r="G19" s="38">
        <v>308</v>
      </c>
      <c r="H19" s="38">
        <v>65</v>
      </c>
      <c r="I19" s="38">
        <v>58</v>
      </c>
      <c r="J19" s="38">
        <v>116</v>
      </c>
      <c r="K19" s="38">
        <v>37</v>
      </c>
      <c r="L19" s="38">
        <v>210</v>
      </c>
      <c r="M19" s="38">
        <v>54</v>
      </c>
      <c r="N19" s="38">
        <v>80</v>
      </c>
      <c r="O19" s="38">
        <v>238</v>
      </c>
      <c r="P19" s="38">
        <v>231</v>
      </c>
      <c r="Q19" s="38">
        <v>0</v>
      </c>
      <c r="R19" s="38">
        <v>152</v>
      </c>
      <c r="S19" s="38">
        <v>108</v>
      </c>
      <c r="T19" s="38">
        <v>139</v>
      </c>
      <c r="U19" s="38">
        <v>33</v>
      </c>
      <c r="V19" s="38">
        <v>85</v>
      </c>
      <c r="W19" s="38">
        <v>160</v>
      </c>
      <c r="X19" s="38">
        <v>97</v>
      </c>
      <c r="Y19" s="38">
        <v>26</v>
      </c>
      <c r="Z19" s="38">
        <v>56</v>
      </c>
      <c r="AA19" s="38">
        <v>154</v>
      </c>
      <c r="AB19" s="42">
        <v>7</v>
      </c>
      <c r="AC19" s="42">
        <v>53</v>
      </c>
    </row>
    <row r="20" spans="2:29" x14ac:dyDescent="0.35">
      <c r="B20" s="41" t="s">
        <v>98</v>
      </c>
      <c r="C20" s="38">
        <v>166</v>
      </c>
      <c r="D20" s="38">
        <v>77</v>
      </c>
      <c r="E20" s="38">
        <v>33</v>
      </c>
      <c r="F20" s="38">
        <v>141</v>
      </c>
      <c r="G20" s="38">
        <v>180</v>
      </c>
      <c r="H20" s="38">
        <v>131</v>
      </c>
      <c r="I20" s="38">
        <v>82</v>
      </c>
      <c r="J20" s="38">
        <v>266</v>
      </c>
      <c r="K20" s="38">
        <v>150</v>
      </c>
      <c r="L20" s="38">
        <v>127</v>
      </c>
      <c r="M20" s="38">
        <v>117</v>
      </c>
      <c r="N20" s="38">
        <v>51</v>
      </c>
      <c r="O20" s="38">
        <v>144</v>
      </c>
      <c r="P20" s="38">
        <v>203</v>
      </c>
      <c r="Q20" s="38">
        <v>152</v>
      </c>
      <c r="R20" s="38">
        <v>0</v>
      </c>
      <c r="S20" s="38">
        <v>45</v>
      </c>
      <c r="T20" s="38">
        <v>159</v>
      </c>
      <c r="U20" s="38">
        <v>105</v>
      </c>
      <c r="V20" s="38">
        <v>147</v>
      </c>
      <c r="W20" s="38">
        <v>21</v>
      </c>
      <c r="X20" s="38">
        <v>76</v>
      </c>
      <c r="Y20" s="38">
        <v>157</v>
      </c>
      <c r="Z20" s="38">
        <v>212</v>
      </c>
      <c r="AA20" s="38">
        <v>310</v>
      </c>
      <c r="AB20" s="42">
        <v>145</v>
      </c>
      <c r="AC20" s="42">
        <v>87</v>
      </c>
    </row>
    <row r="21" spans="2:29" x14ac:dyDescent="0.35">
      <c r="B21" s="41" t="s">
        <v>99</v>
      </c>
      <c r="C21" s="38">
        <v>240</v>
      </c>
      <c r="D21" s="38">
        <v>33</v>
      </c>
      <c r="E21" s="38">
        <v>218</v>
      </c>
      <c r="F21" s="38">
        <v>97</v>
      </c>
      <c r="G21" s="38">
        <v>216</v>
      </c>
      <c r="H21" s="38">
        <v>150</v>
      </c>
      <c r="I21" s="38">
        <v>76</v>
      </c>
      <c r="J21" s="38">
        <v>222</v>
      </c>
      <c r="K21" s="38">
        <v>106</v>
      </c>
      <c r="L21" s="38">
        <v>163</v>
      </c>
      <c r="M21" s="38">
        <v>73</v>
      </c>
      <c r="N21" s="38">
        <v>39</v>
      </c>
      <c r="O21" s="38">
        <v>170</v>
      </c>
      <c r="P21" s="38">
        <v>337</v>
      </c>
      <c r="Q21" s="38">
        <v>108</v>
      </c>
      <c r="R21" s="38">
        <v>45</v>
      </c>
      <c r="S21" s="38">
        <v>0</v>
      </c>
      <c r="T21" s="38">
        <v>251</v>
      </c>
      <c r="U21" s="38">
        <v>103</v>
      </c>
      <c r="V21" s="38">
        <v>169</v>
      </c>
      <c r="W21" s="38">
        <v>53</v>
      </c>
      <c r="X21" s="38">
        <v>84</v>
      </c>
      <c r="Y21" s="38">
        <v>113</v>
      </c>
      <c r="Z21" s="38">
        <v>168</v>
      </c>
      <c r="AA21" s="38">
        <v>266</v>
      </c>
      <c r="AB21" s="42">
        <v>101</v>
      </c>
      <c r="AC21" s="42">
        <v>69</v>
      </c>
    </row>
    <row r="22" spans="2:29" x14ac:dyDescent="0.35">
      <c r="B22" s="41" t="s">
        <v>100</v>
      </c>
      <c r="C22" s="38">
        <v>7</v>
      </c>
      <c r="D22" s="38">
        <v>218</v>
      </c>
      <c r="E22" s="38">
        <v>70</v>
      </c>
      <c r="F22" s="38">
        <v>89</v>
      </c>
      <c r="G22" s="38">
        <v>180</v>
      </c>
      <c r="H22" s="38">
        <v>33</v>
      </c>
      <c r="I22" s="38">
        <v>98</v>
      </c>
      <c r="J22" s="38">
        <v>40</v>
      </c>
      <c r="K22" s="38">
        <v>175</v>
      </c>
      <c r="L22" s="38">
        <v>160</v>
      </c>
      <c r="M22" s="38">
        <v>197</v>
      </c>
      <c r="N22" s="38">
        <v>112</v>
      </c>
      <c r="O22" s="38">
        <v>110</v>
      </c>
      <c r="P22" s="38">
        <v>125</v>
      </c>
      <c r="Q22" s="38">
        <v>139</v>
      </c>
      <c r="R22" s="38">
        <v>159</v>
      </c>
      <c r="S22" s="38">
        <v>251</v>
      </c>
      <c r="T22" s="38">
        <v>0</v>
      </c>
      <c r="U22" s="38">
        <v>84</v>
      </c>
      <c r="V22" s="38">
        <v>13</v>
      </c>
      <c r="W22" s="38">
        <v>188</v>
      </c>
      <c r="X22" s="38">
        <v>84</v>
      </c>
      <c r="Y22" s="38">
        <v>164</v>
      </c>
      <c r="Z22" s="38">
        <v>86</v>
      </c>
      <c r="AA22" s="38">
        <v>83</v>
      </c>
      <c r="AB22" s="42">
        <v>146</v>
      </c>
      <c r="AC22" s="42">
        <v>190</v>
      </c>
    </row>
    <row r="23" spans="2:29" x14ac:dyDescent="0.35">
      <c r="B23" s="41" t="s">
        <v>101</v>
      </c>
      <c r="C23" s="38">
        <v>91</v>
      </c>
      <c r="D23" s="38">
        <v>70</v>
      </c>
      <c r="E23" s="38">
        <v>136</v>
      </c>
      <c r="F23" s="38">
        <v>7</v>
      </c>
      <c r="G23" s="38">
        <v>214</v>
      </c>
      <c r="H23" s="38">
        <v>52</v>
      </c>
      <c r="I23" s="38">
        <v>29</v>
      </c>
      <c r="J23" s="38">
        <v>147</v>
      </c>
      <c r="K23" s="38">
        <v>65</v>
      </c>
      <c r="L23" s="38">
        <v>177</v>
      </c>
      <c r="M23" s="38">
        <v>49</v>
      </c>
      <c r="N23" s="38">
        <v>53</v>
      </c>
      <c r="O23" s="38">
        <v>182</v>
      </c>
      <c r="P23" s="38">
        <v>262</v>
      </c>
      <c r="Q23" s="38">
        <v>33</v>
      </c>
      <c r="R23" s="38">
        <v>105</v>
      </c>
      <c r="S23" s="38">
        <v>103</v>
      </c>
      <c r="T23" s="38">
        <v>84</v>
      </c>
      <c r="U23" s="38">
        <v>0</v>
      </c>
      <c r="V23" s="38">
        <v>71</v>
      </c>
      <c r="W23" s="38">
        <v>155</v>
      </c>
      <c r="X23" s="38">
        <v>70</v>
      </c>
      <c r="Y23" s="38">
        <v>58</v>
      </c>
      <c r="Z23" s="38">
        <v>90</v>
      </c>
      <c r="AA23" s="38">
        <v>188</v>
      </c>
      <c r="AB23" s="42">
        <v>30</v>
      </c>
      <c r="AC23" s="42">
        <v>33</v>
      </c>
    </row>
    <row r="24" spans="2:29" x14ac:dyDescent="0.35">
      <c r="B24" s="41" t="s">
        <v>102</v>
      </c>
      <c r="C24" s="38">
        <v>20</v>
      </c>
      <c r="D24" s="38">
        <v>136</v>
      </c>
      <c r="E24" s="38">
        <v>85</v>
      </c>
      <c r="F24" s="38">
        <v>76</v>
      </c>
      <c r="G24" s="38">
        <v>179</v>
      </c>
      <c r="H24" s="38">
        <v>20</v>
      </c>
      <c r="I24" s="38">
        <v>93</v>
      </c>
      <c r="J24" s="38">
        <v>54</v>
      </c>
      <c r="K24" s="38">
        <v>119</v>
      </c>
      <c r="L24" s="38">
        <v>150</v>
      </c>
      <c r="M24" s="38">
        <v>115</v>
      </c>
      <c r="N24" s="38">
        <v>100</v>
      </c>
      <c r="O24" s="38">
        <v>112</v>
      </c>
      <c r="P24" s="38">
        <v>141</v>
      </c>
      <c r="Q24" s="38">
        <v>85</v>
      </c>
      <c r="R24" s="38">
        <v>147</v>
      </c>
      <c r="S24" s="38">
        <v>169</v>
      </c>
      <c r="T24" s="38">
        <v>13</v>
      </c>
      <c r="U24" s="38">
        <v>71</v>
      </c>
      <c r="V24" s="38">
        <v>0</v>
      </c>
      <c r="W24" s="38">
        <v>176</v>
      </c>
      <c r="X24" s="38">
        <v>72</v>
      </c>
      <c r="Y24" s="38">
        <v>109</v>
      </c>
      <c r="Z24" s="38">
        <v>57</v>
      </c>
      <c r="AA24" s="38">
        <v>96</v>
      </c>
      <c r="AB24" s="42">
        <v>83</v>
      </c>
      <c r="AC24" s="42">
        <v>106</v>
      </c>
    </row>
    <row r="25" spans="2:29" x14ac:dyDescent="0.35">
      <c r="B25" s="41" t="s">
        <v>103</v>
      </c>
      <c r="C25" s="38">
        <v>194</v>
      </c>
      <c r="D25" s="38">
        <v>85</v>
      </c>
      <c r="E25" s="38">
        <v>85</v>
      </c>
      <c r="F25" s="38">
        <v>149</v>
      </c>
      <c r="G25" s="38">
        <v>195</v>
      </c>
      <c r="H25" s="38">
        <v>159</v>
      </c>
      <c r="I25" s="38">
        <v>107</v>
      </c>
      <c r="J25" s="38">
        <v>274</v>
      </c>
      <c r="K25" s="38">
        <v>158</v>
      </c>
      <c r="L25" s="38">
        <v>136</v>
      </c>
      <c r="M25" s="38">
        <v>125</v>
      </c>
      <c r="N25" s="38">
        <v>76</v>
      </c>
      <c r="O25" s="38">
        <v>168</v>
      </c>
      <c r="P25" s="38">
        <v>226</v>
      </c>
      <c r="Q25" s="38">
        <v>160</v>
      </c>
      <c r="R25" s="38">
        <v>21</v>
      </c>
      <c r="S25" s="38">
        <v>53</v>
      </c>
      <c r="T25" s="38">
        <v>188</v>
      </c>
      <c r="U25" s="38">
        <v>155</v>
      </c>
      <c r="V25" s="38">
        <v>176</v>
      </c>
      <c r="W25" s="38">
        <v>0</v>
      </c>
      <c r="X25" s="38">
        <v>100</v>
      </c>
      <c r="Y25" s="38">
        <v>165</v>
      </c>
      <c r="Z25" s="38">
        <v>220</v>
      </c>
      <c r="AA25" s="38">
        <v>318</v>
      </c>
      <c r="AB25" s="42">
        <v>153</v>
      </c>
      <c r="AC25" s="42">
        <v>122</v>
      </c>
    </row>
    <row r="26" spans="2:29" x14ac:dyDescent="0.35">
      <c r="B26" s="43" t="s">
        <v>104</v>
      </c>
      <c r="C26" s="42">
        <v>90</v>
      </c>
      <c r="D26" s="42">
        <v>85</v>
      </c>
      <c r="E26" s="42">
        <v>80</v>
      </c>
      <c r="F26" s="42">
        <v>76</v>
      </c>
      <c r="G26" s="42">
        <v>144</v>
      </c>
      <c r="H26" s="42">
        <v>60</v>
      </c>
      <c r="I26" s="42">
        <v>63</v>
      </c>
      <c r="J26" s="42">
        <v>180</v>
      </c>
      <c r="K26" s="42">
        <v>150</v>
      </c>
      <c r="L26" s="42">
        <v>108</v>
      </c>
      <c r="M26" s="42">
        <v>118</v>
      </c>
      <c r="N26" s="42">
        <v>39</v>
      </c>
      <c r="O26" s="42">
        <v>106</v>
      </c>
      <c r="P26" s="42">
        <v>121</v>
      </c>
      <c r="Q26" s="42">
        <v>97</v>
      </c>
      <c r="R26" s="42">
        <v>76</v>
      </c>
      <c r="S26" s="42">
        <v>84</v>
      </c>
      <c r="T26" s="42">
        <v>84</v>
      </c>
      <c r="U26" s="42">
        <v>70</v>
      </c>
      <c r="V26" s="42">
        <v>72</v>
      </c>
      <c r="W26" s="42">
        <v>100</v>
      </c>
      <c r="X26" s="42">
        <v>0</v>
      </c>
      <c r="Y26" s="42">
        <v>158</v>
      </c>
      <c r="Z26" s="42">
        <v>120</v>
      </c>
      <c r="AA26" s="42">
        <v>218</v>
      </c>
      <c r="AB26" s="42">
        <v>98</v>
      </c>
      <c r="AC26" s="42">
        <v>75</v>
      </c>
    </row>
    <row r="27" spans="2:29" x14ac:dyDescent="0.35">
      <c r="B27" s="43" t="s">
        <v>105</v>
      </c>
      <c r="C27" s="42">
        <v>159</v>
      </c>
      <c r="D27" s="42">
        <v>80</v>
      </c>
      <c r="E27" s="42">
        <v>135</v>
      </c>
      <c r="F27" s="42">
        <v>51</v>
      </c>
      <c r="G27" s="42">
        <v>333</v>
      </c>
      <c r="H27" s="42">
        <v>90</v>
      </c>
      <c r="I27" s="42">
        <v>87</v>
      </c>
      <c r="J27" s="42">
        <v>141</v>
      </c>
      <c r="K27" s="42">
        <v>11</v>
      </c>
      <c r="L27" s="42">
        <v>266</v>
      </c>
      <c r="M27" s="42">
        <v>40</v>
      </c>
      <c r="N27" s="42">
        <v>120</v>
      </c>
      <c r="O27" s="42">
        <v>263</v>
      </c>
      <c r="P27" s="42">
        <v>256</v>
      </c>
      <c r="Q27" s="42">
        <v>26</v>
      </c>
      <c r="R27" s="42">
        <v>157</v>
      </c>
      <c r="S27" s="42">
        <v>113</v>
      </c>
      <c r="T27" s="42">
        <v>164</v>
      </c>
      <c r="U27" s="42">
        <v>58</v>
      </c>
      <c r="V27" s="42">
        <v>109</v>
      </c>
      <c r="W27" s="42">
        <v>165</v>
      </c>
      <c r="X27" s="42">
        <v>158</v>
      </c>
      <c r="Y27" s="42">
        <v>0</v>
      </c>
      <c r="Z27" s="42">
        <v>80</v>
      </c>
      <c r="AA27" s="42">
        <v>179</v>
      </c>
      <c r="AB27" s="42">
        <v>29</v>
      </c>
      <c r="AC27" s="42">
        <v>52</v>
      </c>
    </row>
    <row r="28" spans="2:29" x14ac:dyDescent="0.35">
      <c r="B28" s="43" t="s">
        <v>106</v>
      </c>
      <c r="C28" s="42">
        <v>81</v>
      </c>
      <c r="D28" s="42">
        <v>135</v>
      </c>
      <c r="E28" s="42">
        <v>233</v>
      </c>
      <c r="F28" s="42">
        <v>83</v>
      </c>
      <c r="G28" s="42">
        <v>255</v>
      </c>
      <c r="H28" s="42">
        <v>38</v>
      </c>
      <c r="I28" s="42">
        <v>114</v>
      </c>
      <c r="J28" s="42">
        <v>63</v>
      </c>
      <c r="K28" s="42">
        <v>91</v>
      </c>
      <c r="L28" s="42">
        <v>195</v>
      </c>
      <c r="M28" s="42">
        <v>114</v>
      </c>
      <c r="N28" s="42">
        <v>136</v>
      </c>
      <c r="O28" s="42">
        <v>185</v>
      </c>
      <c r="P28" s="42">
        <v>178</v>
      </c>
      <c r="Q28" s="42">
        <v>56</v>
      </c>
      <c r="R28" s="42">
        <v>212</v>
      </c>
      <c r="S28" s="42">
        <v>168</v>
      </c>
      <c r="T28" s="42">
        <v>86</v>
      </c>
      <c r="U28" s="42">
        <v>90</v>
      </c>
      <c r="V28" s="42">
        <v>57</v>
      </c>
      <c r="W28" s="42">
        <v>220</v>
      </c>
      <c r="X28" s="42">
        <v>120</v>
      </c>
      <c r="Y28" s="42">
        <v>80</v>
      </c>
      <c r="Z28" s="42">
        <v>0</v>
      </c>
      <c r="AA28" s="42">
        <v>102</v>
      </c>
      <c r="AB28" s="42">
        <v>63</v>
      </c>
      <c r="AC28" s="42">
        <v>107</v>
      </c>
    </row>
    <row r="29" spans="2:29" x14ac:dyDescent="0.35">
      <c r="B29" s="43" t="s">
        <v>107</v>
      </c>
      <c r="C29" s="42">
        <v>77</v>
      </c>
      <c r="D29" s="42">
        <v>233</v>
      </c>
      <c r="E29" s="42">
        <v>68</v>
      </c>
      <c r="F29" s="42">
        <v>182</v>
      </c>
      <c r="G29" s="42">
        <v>256</v>
      </c>
      <c r="H29" s="42">
        <v>127</v>
      </c>
      <c r="I29" s="42">
        <v>213</v>
      </c>
      <c r="J29" s="42">
        <v>44</v>
      </c>
      <c r="K29" s="42">
        <v>189</v>
      </c>
      <c r="L29" s="42">
        <v>237</v>
      </c>
      <c r="M29" s="42">
        <v>212</v>
      </c>
      <c r="N29" s="42">
        <v>234</v>
      </c>
      <c r="O29" s="42">
        <v>185</v>
      </c>
      <c r="P29" s="42">
        <v>157</v>
      </c>
      <c r="Q29" s="42">
        <v>154</v>
      </c>
      <c r="R29" s="42">
        <v>310</v>
      </c>
      <c r="S29" s="42">
        <v>266</v>
      </c>
      <c r="T29" s="42">
        <v>83</v>
      </c>
      <c r="U29" s="42">
        <v>188</v>
      </c>
      <c r="V29" s="42">
        <v>96</v>
      </c>
      <c r="W29" s="42">
        <v>318</v>
      </c>
      <c r="X29" s="42">
        <v>218</v>
      </c>
      <c r="Y29" s="42">
        <v>179</v>
      </c>
      <c r="Z29" s="42">
        <v>102</v>
      </c>
      <c r="AA29" s="42">
        <v>0</v>
      </c>
      <c r="AB29" s="42">
        <v>162</v>
      </c>
      <c r="AC29" s="42">
        <v>205</v>
      </c>
    </row>
    <row r="30" spans="2:29" x14ac:dyDescent="0.35">
      <c r="B30" s="43" t="s">
        <v>108</v>
      </c>
      <c r="C30" s="42">
        <v>141</v>
      </c>
      <c r="D30" s="42">
        <v>68</v>
      </c>
      <c r="E30" s="42">
        <v>36</v>
      </c>
      <c r="F30" s="42">
        <v>23</v>
      </c>
      <c r="G30" s="42">
        <v>315</v>
      </c>
      <c r="H30" s="42">
        <v>64</v>
      </c>
      <c r="I30" s="42">
        <v>54</v>
      </c>
      <c r="J30" s="42">
        <v>123</v>
      </c>
      <c r="K30" s="42">
        <v>39</v>
      </c>
      <c r="L30" s="42">
        <v>206</v>
      </c>
      <c r="M30" s="42">
        <v>47</v>
      </c>
      <c r="N30" s="42">
        <v>76</v>
      </c>
      <c r="O30" s="42">
        <v>245</v>
      </c>
      <c r="P30" s="42">
        <v>238</v>
      </c>
      <c r="Q30" s="42">
        <v>7</v>
      </c>
      <c r="R30" s="42">
        <v>145</v>
      </c>
      <c r="S30" s="42">
        <v>101</v>
      </c>
      <c r="T30" s="42">
        <v>146</v>
      </c>
      <c r="U30" s="42">
        <v>30</v>
      </c>
      <c r="V30" s="42">
        <v>83</v>
      </c>
      <c r="W30" s="42">
        <v>153</v>
      </c>
      <c r="X30" s="42">
        <v>98</v>
      </c>
      <c r="Y30" s="42">
        <v>29</v>
      </c>
      <c r="Z30" s="42">
        <v>63</v>
      </c>
      <c r="AA30" s="42">
        <v>162</v>
      </c>
      <c r="AB30" s="42">
        <v>0</v>
      </c>
      <c r="AC30" s="42">
        <v>46</v>
      </c>
    </row>
    <row r="31" spans="2:29" x14ac:dyDescent="0.35">
      <c r="B31" s="43" t="s">
        <v>109</v>
      </c>
      <c r="C31" s="42">
        <v>185</v>
      </c>
      <c r="D31" s="42">
        <v>36</v>
      </c>
      <c r="E31" s="42">
        <v>45</v>
      </c>
      <c r="F31" s="42">
        <v>34</v>
      </c>
      <c r="G31" s="42">
        <v>219</v>
      </c>
      <c r="H31" s="42">
        <v>86</v>
      </c>
      <c r="I31" s="42">
        <v>10</v>
      </c>
      <c r="J31" s="42">
        <v>166</v>
      </c>
      <c r="K31" s="42">
        <v>71</v>
      </c>
      <c r="L31" s="42">
        <v>182</v>
      </c>
      <c r="M31" s="42">
        <v>39</v>
      </c>
      <c r="N31" s="42">
        <v>43</v>
      </c>
      <c r="O31" s="42">
        <v>184</v>
      </c>
      <c r="P31" s="42">
        <v>282</v>
      </c>
      <c r="Q31" s="42">
        <v>53</v>
      </c>
      <c r="R31" s="42">
        <v>87</v>
      </c>
      <c r="S31" s="42">
        <v>69</v>
      </c>
      <c r="T31" s="42">
        <v>190</v>
      </c>
      <c r="U31" s="42">
        <v>33</v>
      </c>
      <c r="V31" s="42">
        <v>106</v>
      </c>
      <c r="W31" s="42">
        <v>122</v>
      </c>
      <c r="X31" s="42">
        <v>75</v>
      </c>
      <c r="Y31" s="42">
        <v>52</v>
      </c>
      <c r="Z31" s="42">
        <v>107</v>
      </c>
      <c r="AA31" s="42">
        <v>205</v>
      </c>
      <c r="AB31" s="42">
        <v>46</v>
      </c>
      <c r="AC31" s="42">
        <v>0</v>
      </c>
    </row>
  </sheetData>
  <sheetProtection sheet="1" objects="1" scenarios="1"/>
  <conditionalFormatting sqref="B4:AC31">
    <cfRule type="expression" priority="1">
      <formula>"CELL(""protect"",B4)=0"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81582-07B3-4414-9BAC-ABED1DE0ED64}">
  <sheetPr codeName="Sheet5">
    <tabColor rgb="FF00B0F0"/>
  </sheetPr>
  <dimension ref="A1:B3"/>
  <sheetViews>
    <sheetView zoomScale="120" zoomScaleNormal="120" workbookViewId="0">
      <selection activeCell="B4" sqref="B4"/>
    </sheetView>
  </sheetViews>
  <sheetFormatPr defaultRowHeight="17.25" x14ac:dyDescent="0.35"/>
  <cols>
    <col min="1" max="1" width="9.5" customWidth="1"/>
    <col min="2" max="2" width="61.625" customWidth="1"/>
  </cols>
  <sheetData>
    <row r="1" spans="1:2" ht="35.25" x14ac:dyDescent="0.5">
      <c r="A1" s="9" t="s">
        <v>61</v>
      </c>
    </row>
    <row r="3" spans="1:2" ht="24.4" customHeight="1" x14ac:dyDescent="0.35">
      <c r="A3" s="7" t="s">
        <v>51</v>
      </c>
      <c r="B3" s="8" t="s">
        <v>116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6760C-1F0D-467D-A131-5477A1D90A70}">
  <sheetPr codeName="Sheet6">
    <tabColor rgb="FF00B0F0"/>
  </sheetPr>
  <dimension ref="B1:F17"/>
  <sheetViews>
    <sheetView topLeftCell="A4" zoomScale="120" zoomScaleNormal="120" workbookViewId="0">
      <selection activeCell="B4" sqref="B4"/>
    </sheetView>
  </sheetViews>
  <sheetFormatPr defaultRowHeight="17.25" x14ac:dyDescent="0.35"/>
  <cols>
    <col min="1" max="1" width="3" customWidth="1"/>
    <col min="2" max="2" width="15" bestFit="1" customWidth="1"/>
    <col min="3" max="3" width="5.5" bestFit="1" customWidth="1"/>
    <col min="4" max="4" width="14" bestFit="1" customWidth="1"/>
    <col min="5" max="5" width="13.75" bestFit="1" customWidth="1"/>
    <col min="6" max="6" width="11.125" bestFit="1" customWidth="1"/>
  </cols>
  <sheetData>
    <row r="1" spans="2:6" ht="35.25" x14ac:dyDescent="0.5">
      <c r="B1" s="9" t="s">
        <v>61</v>
      </c>
    </row>
    <row r="2" spans="2:6" ht="21.75" x14ac:dyDescent="0.45">
      <c r="B2" s="1" t="s">
        <v>52</v>
      </c>
    </row>
    <row r="4" spans="2:6" x14ac:dyDescent="0.35">
      <c r="B4" s="51" t="s">
        <v>135</v>
      </c>
      <c r="C4" t="s">
        <v>131</v>
      </c>
      <c r="D4" t="s">
        <v>132</v>
      </c>
      <c r="E4" t="s">
        <v>133</v>
      </c>
      <c r="F4" t="s">
        <v>134</v>
      </c>
    </row>
    <row r="5" spans="2:6" x14ac:dyDescent="0.35">
      <c r="B5" t="s">
        <v>118</v>
      </c>
      <c r="C5" s="53">
        <v>6</v>
      </c>
      <c r="D5" s="52">
        <v>1359537</v>
      </c>
      <c r="E5" s="52">
        <v>1359537</v>
      </c>
      <c r="F5" s="54">
        <v>7.3704724195157639E-2</v>
      </c>
    </row>
    <row r="6" spans="2:6" x14ac:dyDescent="0.35">
      <c r="B6" t="s">
        <v>119</v>
      </c>
      <c r="C6" s="53">
        <v>8</v>
      </c>
      <c r="D6" s="52">
        <v>1219055</v>
      </c>
      <c r="E6" s="52">
        <v>2578592</v>
      </c>
      <c r="F6" s="54">
        <v>0.13979348276055742</v>
      </c>
    </row>
    <row r="7" spans="2:6" x14ac:dyDescent="0.35">
      <c r="B7" t="s">
        <v>120</v>
      </c>
      <c r="C7" s="53">
        <v>5</v>
      </c>
      <c r="D7" s="52">
        <v>1566517</v>
      </c>
      <c r="E7" s="52">
        <v>4145109</v>
      </c>
      <c r="F7" s="54">
        <v>0.22471923574265776</v>
      </c>
    </row>
    <row r="8" spans="2:6" x14ac:dyDescent="0.35">
      <c r="B8" t="s">
        <v>121</v>
      </c>
      <c r="C8" s="53">
        <v>3</v>
      </c>
      <c r="D8" s="52">
        <v>2007674</v>
      </c>
      <c r="E8" s="52">
        <v>6152783</v>
      </c>
      <c r="F8" s="54">
        <v>0.33356148015659348</v>
      </c>
    </row>
    <row r="9" spans="2:6" x14ac:dyDescent="0.35">
      <c r="B9" t="s">
        <v>122</v>
      </c>
      <c r="C9" s="53">
        <v>2</v>
      </c>
      <c r="D9" s="52">
        <v>2587138</v>
      </c>
      <c r="E9" s="52">
        <v>8739921</v>
      </c>
      <c r="F9" s="54">
        <v>0.47381826812544742</v>
      </c>
    </row>
    <row r="10" spans="2:6" x14ac:dyDescent="0.35">
      <c r="B10" t="s">
        <v>123</v>
      </c>
      <c r="C10" s="53">
        <v>1</v>
      </c>
      <c r="D10" s="52">
        <v>2867031</v>
      </c>
      <c r="E10" s="52">
        <v>11606952</v>
      </c>
      <c r="F10" s="54">
        <v>0.62924892511673713</v>
      </c>
    </row>
    <row r="11" spans="2:6" x14ac:dyDescent="0.35">
      <c r="B11" t="s">
        <v>124</v>
      </c>
      <c r="C11" s="53">
        <v>4</v>
      </c>
      <c r="D11" s="52">
        <v>1756823</v>
      </c>
      <c r="E11" s="52">
        <v>13363775</v>
      </c>
      <c r="F11" s="54">
        <v>0.72449175754771133</v>
      </c>
    </row>
    <row r="12" spans="2:6" x14ac:dyDescent="0.35">
      <c r="B12" t="s">
        <v>125</v>
      </c>
      <c r="C12" s="53">
        <v>9</v>
      </c>
      <c r="D12" s="52">
        <v>1017489</v>
      </c>
      <c r="E12" s="52">
        <v>14381264</v>
      </c>
      <c r="F12" s="54">
        <v>0.77965299708485281</v>
      </c>
    </row>
    <row r="13" spans="2:6" x14ac:dyDescent="0.35">
      <c r="B13" t="s">
        <v>126</v>
      </c>
      <c r="C13" s="53">
        <v>11</v>
      </c>
      <c r="D13" s="52">
        <v>905277</v>
      </c>
      <c r="E13" s="52">
        <v>15286541</v>
      </c>
      <c r="F13" s="54">
        <v>0.82873087551347946</v>
      </c>
    </row>
    <row r="14" spans="2:6" x14ac:dyDescent="0.35">
      <c r="B14" t="s">
        <v>127</v>
      </c>
      <c r="C14" s="53">
        <v>7</v>
      </c>
      <c r="D14" s="52">
        <v>1313471</v>
      </c>
      <c r="E14" s="52">
        <v>16600012</v>
      </c>
      <c r="F14" s="54">
        <v>0.89993821874381297</v>
      </c>
    </row>
    <row r="15" spans="2:6" x14ac:dyDescent="0.35">
      <c r="B15" t="s">
        <v>128</v>
      </c>
      <c r="C15" s="53">
        <v>10</v>
      </c>
      <c r="D15" s="52">
        <v>1008754</v>
      </c>
      <c r="E15" s="52">
        <v>17608766</v>
      </c>
      <c r="F15" s="54">
        <v>0.95462590679552617</v>
      </c>
    </row>
    <row r="16" spans="2:6" x14ac:dyDescent="0.35">
      <c r="B16" t="s">
        <v>129</v>
      </c>
      <c r="C16" s="53">
        <v>12</v>
      </c>
      <c r="D16" s="52">
        <v>836958</v>
      </c>
      <c r="E16" s="52">
        <v>18445724</v>
      </c>
      <c r="F16" s="54">
        <v>1</v>
      </c>
    </row>
    <row r="17" spans="2:6" x14ac:dyDescent="0.35">
      <c r="B17" t="s">
        <v>117</v>
      </c>
      <c r="C17" s="53"/>
      <c r="D17" s="52">
        <v>18445724</v>
      </c>
      <c r="E17" s="52"/>
      <c r="F17" s="5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07422-2B84-449C-B088-DDE958109080}">
  <sheetPr codeName="Sheet7">
    <tabColor rgb="FF00B0F0"/>
  </sheetPr>
  <dimension ref="B1:E25"/>
  <sheetViews>
    <sheetView topLeftCell="A4" zoomScale="120" zoomScaleNormal="120" workbookViewId="0">
      <selection activeCell="E4" sqref="E4"/>
    </sheetView>
  </sheetViews>
  <sheetFormatPr defaultRowHeight="17.25" x14ac:dyDescent="0.35"/>
  <cols>
    <col min="1" max="1" width="3" customWidth="1"/>
    <col min="2" max="2" width="22.75" bestFit="1" customWidth="1"/>
    <col min="3" max="3" width="18.125" bestFit="1" customWidth="1"/>
    <col min="4" max="4" width="14" bestFit="1" customWidth="1"/>
    <col min="5" max="5" width="15.5" bestFit="1" customWidth="1"/>
  </cols>
  <sheetData>
    <row r="1" spans="2:5" ht="35.25" x14ac:dyDescent="0.5">
      <c r="B1" s="9" t="s">
        <v>61</v>
      </c>
    </row>
    <row r="2" spans="2:5" ht="21.75" x14ac:dyDescent="0.45">
      <c r="B2" s="1" t="s">
        <v>53</v>
      </c>
    </row>
    <row r="4" spans="2:5" x14ac:dyDescent="0.35">
      <c r="B4" s="51" t="s">
        <v>5</v>
      </c>
      <c r="C4" s="51" t="s">
        <v>6</v>
      </c>
      <c r="D4" t="s">
        <v>132</v>
      </c>
      <c r="E4" t="s">
        <v>130</v>
      </c>
    </row>
    <row r="5" spans="2:5" x14ac:dyDescent="0.35">
      <c r="B5" t="s">
        <v>138</v>
      </c>
      <c r="D5" s="52">
        <v>4341601</v>
      </c>
      <c r="E5" s="54">
        <v>0.23537167746844742</v>
      </c>
    </row>
    <row r="6" spans="2:5" x14ac:dyDescent="0.35">
      <c r="C6" t="s">
        <v>149</v>
      </c>
      <c r="D6" s="52">
        <v>2318229</v>
      </c>
      <c r="E6" s="54">
        <v>0.12567839570840375</v>
      </c>
    </row>
    <row r="7" spans="2:5" x14ac:dyDescent="0.35">
      <c r="C7" t="s">
        <v>148</v>
      </c>
      <c r="D7" s="52">
        <v>1028320</v>
      </c>
      <c r="E7" s="54">
        <v>5.5748421693829965E-2</v>
      </c>
    </row>
    <row r="8" spans="2:5" x14ac:dyDescent="0.35">
      <c r="C8" t="s">
        <v>147</v>
      </c>
      <c r="D8" s="52">
        <v>995052</v>
      </c>
      <c r="E8" s="54">
        <v>5.3944860066213719E-2</v>
      </c>
    </row>
    <row r="9" spans="2:5" x14ac:dyDescent="0.35">
      <c r="B9" t="s">
        <v>140</v>
      </c>
      <c r="D9" s="52">
        <v>4241675</v>
      </c>
      <c r="E9" s="54">
        <v>0.22995437858660359</v>
      </c>
    </row>
    <row r="10" spans="2:5" x14ac:dyDescent="0.35">
      <c r="C10" t="s">
        <v>155</v>
      </c>
      <c r="D10" s="52">
        <v>1921060</v>
      </c>
      <c r="E10" s="54">
        <v>0.10414663040604966</v>
      </c>
    </row>
    <row r="11" spans="2:5" x14ac:dyDescent="0.35">
      <c r="C11" t="s">
        <v>154</v>
      </c>
      <c r="D11" s="52">
        <v>1229540</v>
      </c>
      <c r="E11" s="54">
        <v>6.6657182987233249E-2</v>
      </c>
    </row>
    <row r="12" spans="2:5" x14ac:dyDescent="0.35">
      <c r="C12" t="s">
        <v>153</v>
      </c>
      <c r="D12" s="52">
        <v>1091075</v>
      </c>
      <c r="E12" s="54">
        <v>5.9150565193320688E-2</v>
      </c>
    </row>
    <row r="13" spans="2:5" x14ac:dyDescent="0.35">
      <c r="B13" t="s">
        <v>136</v>
      </c>
      <c r="D13" s="52">
        <v>3787101</v>
      </c>
      <c r="E13" s="54">
        <v>0.20531050990462613</v>
      </c>
    </row>
    <row r="14" spans="2:5" x14ac:dyDescent="0.35">
      <c r="C14" t="s">
        <v>143</v>
      </c>
      <c r="D14" s="52">
        <v>1035275</v>
      </c>
      <c r="E14" s="54">
        <v>5.6125473849657513E-2</v>
      </c>
    </row>
    <row r="15" spans="2:5" x14ac:dyDescent="0.35">
      <c r="C15" t="s">
        <v>142</v>
      </c>
      <c r="D15" s="52">
        <v>1561140</v>
      </c>
      <c r="E15" s="54">
        <v>8.463424910835704E-2</v>
      </c>
    </row>
    <row r="16" spans="2:5" x14ac:dyDescent="0.35">
      <c r="C16" t="s">
        <v>141</v>
      </c>
      <c r="D16" s="52">
        <v>1190686</v>
      </c>
      <c r="E16" s="54">
        <v>6.455078694661158E-2</v>
      </c>
    </row>
    <row r="17" spans="2:5" x14ac:dyDescent="0.35">
      <c r="B17" t="s">
        <v>137</v>
      </c>
      <c r="D17" s="52">
        <v>3758364</v>
      </c>
      <c r="E17" s="54">
        <v>0.20375258786263961</v>
      </c>
    </row>
    <row r="18" spans="2:5" x14ac:dyDescent="0.35">
      <c r="C18" t="s">
        <v>146</v>
      </c>
      <c r="D18" s="52">
        <v>729730</v>
      </c>
      <c r="E18" s="54">
        <v>3.956093021884096E-2</v>
      </c>
    </row>
    <row r="19" spans="2:5" x14ac:dyDescent="0.35">
      <c r="C19" t="s">
        <v>145</v>
      </c>
      <c r="D19" s="52">
        <v>1577753</v>
      </c>
      <c r="E19" s="54">
        <v>8.5534891446928302E-2</v>
      </c>
    </row>
    <row r="20" spans="2:5" x14ac:dyDescent="0.35">
      <c r="C20" t="s">
        <v>144</v>
      </c>
      <c r="D20" s="52">
        <v>1450881</v>
      </c>
      <c r="E20" s="54">
        <v>7.8656766196870342E-2</v>
      </c>
    </row>
    <row r="21" spans="2:5" x14ac:dyDescent="0.35">
      <c r="B21" t="s">
        <v>139</v>
      </c>
      <c r="D21" s="52">
        <v>2316983</v>
      </c>
      <c r="E21" s="54">
        <v>0.12561084617768323</v>
      </c>
    </row>
    <row r="22" spans="2:5" x14ac:dyDescent="0.35">
      <c r="C22" t="s">
        <v>152</v>
      </c>
      <c r="D22" s="52">
        <v>898330</v>
      </c>
      <c r="E22" s="54">
        <v>4.8701259977651186E-2</v>
      </c>
    </row>
    <row r="23" spans="2:5" x14ac:dyDescent="0.35">
      <c r="C23" t="s">
        <v>151</v>
      </c>
      <c r="D23" s="52">
        <v>749874</v>
      </c>
      <c r="E23" s="54">
        <v>4.0652999036524674E-2</v>
      </c>
    </row>
    <row r="24" spans="2:5" x14ac:dyDescent="0.35">
      <c r="C24" t="s">
        <v>150</v>
      </c>
      <c r="D24" s="52">
        <v>668779</v>
      </c>
      <c r="E24" s="54">
        <v>3.6256587163507381E-2</v>
      </c>
    </row>
    <row r="25" spans="2:5" x14ac:dyDescent="0.35">
      <c r="B25" t="s">
        <v>117</v>
      </c>
      <c r="D25" s="52">
        <v>18445724</v>
      </c>
      <c r="E25" s="54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96018-4902-4EC9-B206-A342D42C310A}">
  <sheetPr codeName="Sheet8">
    <tabColor rgb="FF00B0F0"/>
  </sheetPr>
  <dimension ref="B1:O21"/>
  <sheetViews>
    <sheetView zoomScale="120" zoomScaleNormal="120" workbookViewId="0">
      <selection activeCell="C5" sqref="C5"/>
    </sheetView>
  </sheetViews>
  <sheetFormatPr defaultRowHeight="17.25" x14ac:dyDescent="0.35"/>
  <cols>
    <col min="1" max="1" width="3" customWidth="1"/>
    <col min="2" max="2" width="18.125" bestFit="1" customWidth="1"/>
    <col min="3" max="14" width="15" bestFit="1" customWidth="1"/>
    <col min="15" max="15" width="12" bestFit="1" customWidth="1"/>
    <col min="16" max="234" width="16.125" bestFit="1" customWidth="1"/>
    <col min="235" max="235" width="12" bestFit="1" customWidth="1"/>
  </cols>
  <sheetData>
    <row r="1" spans="2:15" ht="35.25" x14ac:dyDescent="0.5">
      <c r="B1" s="9" t="s">
        <v>61</v>
      </c>
    </row>
    <row r="2" spans="2:15" ht="21.75" x14ac:dyDescent="0.45">
      <c r="B2" s="1" t="s">
        <v>57</v>
      </c>
    </row>
    <row r="4" spans="2:15" x14ac:dyDescent="0.35">
      <c r="B4" s="51" t="s">
        <v>156</v>
      </c>
      <c r="C4" s="51" t="s">
        <v>135</v>
      </c>
    </row>
    <row r="5" spans="2:15" x14ac:dyDescent="0.35">
      <c r="B5" s="51" t="s">
        <v>6</v>
      </c>
      <c r="C5" t="s">
        <v>118</v>
      </c>
      <c r="D5" t="s">
        <v>119</v>
      </c>
      <c r="E5" t="s">
        <v>120</v>
      </c>
      <c r="F5" t="s">
        <v>121</v>
      </c>
      <c r="G5" t="s">
        <v>122</v>
      </c>
      <c r="H5" t="s">
        <v>123</v>
      </c>
      <c r="I5" t="s">
        <v>124</v>
      </c>
      <c r="J5" t="s">
        <v>125</v>
      </c>
      <c r="K5" t="s">
        <v>126</v>
      </c>
      <c r="L5" t="s">
        <v>127</v>
      </c>
      <c r="M5" t="s">
        <v>128</v>
      </c>
      <c r="N5" t="s">
        <v>129</v>
      </c>
      <c r="O5" t="s">
        <v>117</v>
      </c>
    </row>
    <row r="6" spans="2:15" x14ac:dyDescent="0.35">
      <c r="B6" t="s">
        <v>150</v>
      </c>
      <c r="C6" s="53">
        <v>0</v>
      </c>
      <c r="D6" s="53">
        <v>8</v>
      </c>
      <c r="E6" s="53">
        <v>6</v>
      </c>
      <c r="F6" s="53">
        <v>17</v>
      </c>
      <c r="G6" s="53">
        <v>14</v>
      </c>
      <c r="H6" s="53">
        <v>8</v>
      </c>
      <c r="I6" s="53">
        <v>4</v>
      </c>
      <c r="J6" s="53">
        <v>0</v>
      </c>
      <c r="K6" s="53">
        <v>4</v>
      </c>
      <c r="L6" s="53">
        <v>9</v>
      </c>
      <c r="M6" s="53">
        <v>1</v>
      </c>
      <c r="N6" s="53">
        <v>0</v>
      </c>
      <c r="O6" s="53">
        <v>71</v>
      </c>
    </row>
    <row r="7" spans="2:15" x14ac:dyDescent="0.35">
      <c r="B7" t="s">
        <v>141</v>
      </c>
      <c r="C7" s="53">
        <v>6</v>
      </c>
      <c r="D7" s="53">
        <v>14</v>
      </c>
      <c r="E7" s="53">
        <v>9</v>
      </c>
      <c r="F7" s="53">
        <v>17</v>
      </c>
      <c r="G7" s="53">
        <v>25</v>
      </c>
      <c r="H7" s="53">
        <v>15</v>
      </c>
      <c r="I7" s="53">
        <v>6</v>
      </c>
      <c r="J7" s="53">
        <v>4</v>
      </c>
      <c r="K7" s="53">
        <v>1</v>
      </c>
      <c r="L7" s="53">
        <v>14</v>
      </c>
      <c r="M7" s="53">
        <v>9</v>
      </c>
      <c r="N7" s="53">
        <v>6</v>
      </c>
      <c r="O7" s="53">
        <v>126</v>
      </c>
    </row>
    <row r="8" spans="2:15" x14ac:dyDescent="0.35">
      <c r="B8" t="s">
        <v>142</v>
      </c>
      <c r="C8" s="53">
        <v>28</v>
      </c>
      <c r="D8" s="53">
        <v>10</v>
      </c>
      <c r="E8" s="53">
        <v>6</v>
      </c>
      <c r="F8" s="53">
        <v>12</v>
      </c>
      <c r="G8" s="53">
        <v>8</v>
      </c>
      <c r="H8" s="53">
        <v>34</v>
      </c>
      <c r="I8" s="53">
        <v>16</v>
      </c>
      <c r="J8" s="53">
        <v>8</v>
      </c>
      <c r="K8" s="53">
        <v>6</v>
      </c>
      <c r="L8" s="53">
        <v>14</v>
      </c>
      <c r="M8" s="53">
        <v>9</v>
      </c>
      <c r="N8" s="53">
        <v>17</v>
      </c>
      <c r="O8" s="53">
        <v>168</v>
      </c>
    </row>
    <row r="9" spans="2:15" x14ac:dyDescent="0.35">
      <c r="B9" t="s">
        <v>151</v>
      </c>
      <c r="C9" s="53">
        <v>6</v>
      </c>
      <c r="D9" s="53">
        <v>0</v>
      </c>
      <c r="E9" s="53">
        <v>13</v>
      </c>
      <c r="F9" s="53">
        <v>16</v>
      </c>
      <c r="G9" s="53">
        <v>18</v>
      </c>
      <c r="H9" s="53">
        <v>9</v>
      </c>
      <c r="I9" s="53">
        <v>4</v>
      </c>
      <c r="J9" s="53">
        <v>2</v>
      </c>
      <c r="K9" s="53">
        <v>6</v>
      </c>
      <c r="L9" s="53">
        <v>8</v>
      </c>
      <c r="M9" s="53">
        <v>2</v>
      </c>
      <c r="N9" s="53">
        <v>0</v>
      </c>
      <c r="O9" s="53">
        <v>84</v>
      </c>
    </row>
    <row r="10" spans="2:15" x14ac:dyDescent="0.35">
      <c r="B10" t="s">
        <v>144</v>
      </c>
      <c r="C10" s="53">
        <v>17</v>
      </c>
      <c r="D10" s="53">
        <v>10</v>
      </c>
      <c r="E10" s="53">
        <v>19</v>
      </c>
      <c r="F10" s="53">
        <v>13</v>
      </c>
      <c r="G10" s="53">
        <v>26</v>
      </c>
      <c r="H10" s="53">
        <v>23</v>
      </c>
      <c r="I10" s="53">
        <v>16</v>
      </c>
      <c r="J10" s="53">
        <v>13</v>
      </c>
      <c r="K10" s="53">
        <v>9</v>
      </c>
      <c r="L10" s="53">
        <v>1</v>
      </c>
      <c r="M10" s="53">
        <v>4</v>
      </c>
      <c r="N10" s="53">
        <v>2</v>
      </c>
      <c r="O10" s="53">
        <v>153</v>
      </c>
    </row>
    <row r="11" spans="2:15" x14ac:dyDescent="0.35">
      <c r="B11" t="s">
        <v>152</v>
      </c>
      <c r="C11" s="53">
        <v>4</v>
      </c>
      <c r="D11" s="53">
        <v>14</v>
      </c>
      <c r="E11" s="53">
        <v>0</v>
      </c>
      <c r="F11" s="53">
        <v>8</v>
      </c>
      <c r="G11" s="53">
        <v>8</v>
      </c>
      <c r="H11" s="53">
        <v>10</v>
      </c>
      <c r="I11" s="53">
        <v>7</v>
      </c>
      <c r="J11" s="53">
        <v>13</v>
      </c>
      <c r="K11" s="53">
        <v>6</v>
      </c>
      <c r="L11" s="53">
        <v>9</v>
      </c>
      <c r="M11" s="53">
        <v>8</v>
      </c>
      <c r="N11" s="53">
        <v>7</v>
      </c>
      <c r="O11" s="53">
        <v>94</v>
      </c>
    </row>
    <row r="12" spans="2:15" x14ac:dyDescent="0.35">
      <c r="B12" t="s">
        <v>143</v>
      </c>
      <c r="C12" s="53">
        <v>4</v>
      </c>
      <c r="D12" s="53">
        <v>12</v>
      </c>
      <c r="E12" s="53">
        <v>12</v>
      </c>
      <c r="F12" s="53">
        <v>17</v>
      </c>
      <c r="G12" s="53">
        <v>12</v>
      </c>
      <c r="H12" s="53">
        <v>22</v>
      </c>
      <c r="I12" s="53">
        <v>4</v>
      </c>
      <c r="J12" s="53">
        <v>4</v>
      </c>
      <c r="K12" s="53">
        <v>4</v>
      </c>
      <c r="L12" s="53">
        <v>8</v>
      </c>
      <c r="M12" s="53">
        <v>5</v>
      </c>
      <c r="N12" s="53">
        <v>8</v>
      </c>
      <c r="O12" s="53">
        <v>112</v>
      </c>
    </row>
    <row r="13" spans="2:15" x14ac:dyDescent="0.35">
      <c r="B13" t="s">
        <v>147</v>
      </c>
      <c r="C13" s="53">
        <v>3</v>
      </c>
      <c r="D13" s="53">
        <v>1</v>
      </c>
      <c r="E13" s="53">
        <v>16</v>
      </c>
      <c r="F13" s="53">
        <v>20</v>
      </c>
      <c r="G13" s="53">
        <v>17</v>
      </c>
      <c r="H13" s="53">
        <v>12</v>
      </c>
      <c r="I13" s="53">
        <v>14</v>
      </c>
      <c r="J13" s="53">
        <v>4</v>
      </c>
      <c r="K13" s="53">
        <v>4</v>
      </c>
      <c r="L13" s="53">
        <v>5</v>
      </c>
      <c r="M13" s="53">
        <v>6</v>
      </c>
      <c r="N13" s="53">
        <v>1</v>
      </c>
      <c r="O13" s="53">
        <v>103</v>
      </c>
    </row>
    <row r="14" spans="2:15" x14ac:dyDescent="0.35">
      <c r="B14" t="s">
        <v>153</v>
      </c>
      <c r="C14" s="53">
        <v>9</v>
      </c>
      <c r="D14" s="53">
        <v>3</v>
      </c>
      <c r="E14" s="53">
        <v>9</v>
      </c>
      <c r="F14" s="53">
        <v>8</v>
      </c>
      <c r="G14" s="53">
        <v>20</v>
      </c>
      <c r="H14" s="53">
        <v>22</v>
      </c>
      <c r="I14" s="53">
        <v>8</v>
      </c>
      <c r="J14" s="53">
        <v>13</v>
      </c>
      <c r="K14" s="53">
        <v>7</v>
      </c>
      <c r="L14" s="53">
        <v>10</v>
      </c>
      <c r="M14" s="53">
        <v>5</v>
      </c>
      <c r="N14" s="53">
        <v>0</v>
      </c>
      <c r="O14" s="53">
        <v>114</v>
      </c>
    </row>
    <row r="15" spans="2:15" x14ac:dyDescent="0.35">
      <c r="B15" t="s">
        <v>145</v>
      </c>
      <c r="C15" s="53">
        <v>15</v>
      </c>
      <c r="D15" s="53">
        <v>3</v>
      </c>
      <c r="E15" s="53">
        <v>6</v>
      </c>
      <c r="F15" s="53">
        <v>20</v>
      </c>
      <c r="G15" s="53">
        <v>30</v>
      </c>
      <c r="H15" s="53">
        <v>24</v>
      </c>
      <c r="I15" s="53">
        <v>17</v>
      </c>
      <c r="J15" s="53">
        <v>1</v>
      </c>
      <c r="K15" s="53">
        <v>13</v>
      </c>
      <c r="L15" s="53">
        <v>13</v>
      </c>
      <c r="M15" s="53">
        <v>13</v>
      </c>
      <c r="N15" s="53">
        <v>10</v>
      </c>
      <c r="O15" s="53">
        <v>165</v>
      </c>
    </row>
    <row r="16" spans="2:15" x14ac:dyDescent="0.35">
      <c r="B16" t="s">
        <v>148</v>
      </c>
      <c r="C16" s="53">
        <v>12</v>
      </c>
      <c r="D16" s="53">
        <v>12</v>
      </c>
      <c r="E16" s="53">
        <v>12</v>
      </c>
      <c r="F16" s="53">
        <v>8</v>
      </c>
      <c r="G16" s="53">
        <v>13</v>
      </c>
      <c r="H16" s="53">
        <v>10</v>
      </c>
      <c r="I16" s="53">
        <v>11</v>
      </c>
      <c r="J16" s="53">
        <v>5</v>
      </c>
      <c r="K16" s="53">
        <v>8</v>
      </c>
      <c r="L16" s="53">
        <v>17</v>
      </c>
      <c r="M16" s="53">
        <v>0</v>
      </c>
      <c r="N16" s="53">
        <v>4</v>
      </c>
      <c r="O16" s="53">
        <v>112</v>
      </c>
    </row>
    <row r="17" spans="2:15" x14ac:dyDescent="0.35">
      <c r="B17" t="s">
        <v>149</v>
      </c>
      <c r="C17" s="53">
        <v>25</v>
      </c>
      <c r="D17" s="53">
        <v>29</v>
      </c>
      <c r="E17" s="53">
        <v>21</v>
      </c>
      <c r="F17" s="53">
        <v>25</v>
      </c>
      <c r="G17" s="53">
        <v>23</v>
      </c>
      <c r="H17" s="53">
        <v>47</v>
      </c>
      <c r="I17" s="53">
        <v>28</v>
      </c>
      <c r="J17" s="53">
        <v>7</v>
      </c>
      <c r="K17" s="53">
        <v>7</v>
      </c>
      <c r="L17" s="53">
        <v>6</v>
      </c>
      <c r="M17" s="53">
        <v>22</v>
      </c>
      <c r="N17" s="53">
        <v>10</v>
      </c>
      <c r="O17" s="53">
        <v>250</v>
      </c>
    </row>
    <row r="18" spans="2:15" x14ac:dyDescent="0.35">
      <c r="B18" t="s">
        <v>154</v>
      </c>
      <c r="C18" s="53">
        <v>4</v>
      </c>
      <c r="D18" s="53">
        <v>1</v>
      </c>
      <c r="E18" s="53">
        <v>7</v>
      </c>
      <c r="F18" s="53">
        <v>9</v>
      </c>
      <c r="G18" s="53">
        <v>31</v>
      </c>
      <c r="H18" s="53">
        <v>26</v>
      </c>
      <c r="I18" s="53">
        <v>20</v>
      </c>
      <c r="J18" s="53">
        <v>15</v>
      </c>
      <c r="K18" s="53">
        <v>7</v>
      </c>
      <c r="L18" s="53">
        <v>2</v>
      </c>
      <c r="M18" s="53">
        <v>1</v>
      </c>
      <c r="N18" s="53">
        <v>4</v>
      </c>
      <c r="O18" s="53">
        <v>127</v>
      </c>
    </row>
    <row r="19" spans="2:15" x14ac:dyDescent="0.35">
      <c r="B19" t="s">
        <v>155</v>
      </c>
      <c r="C19" s="53">
        <v>7</v>
      </c>
      <c r="D19" s="53">
        <v>10</v>
      </c>
      <c r="E19" s="53">
        <v>19</v>
      </c>
      <c r="F19" s="53">
        <v>17</v>
      </c>
      <c r="G19" s="53">
        <v>23</v>
      </c>
      <c r="H19" s="53">
        <v>22</v>
      </c>
      <c r="I19" s="53">
        <v>24</v>
      </c>
      <c r="J19" s="53">
        <v>21</v>
      </c>
      <c r="K19" s="53">
        <v>14</v>
      </c>
      <c r="L19" s="53">
        <v>18</v>
      </c>
      <c r="M19" s="53">
        <v>17</v>
      </c>
      <c r="N19" s="53">
        <v>12</v>
      </c>
      <c r="O19" s="53">
        <v>204</v>
      </c>
    </row>
    <row r="20" spans="2:15" x14ac:dyDescent="0.35">
      <c r="B20" t="s">
        <v>146</v>
      </c>
      <c r="C20" s="53">
        <v>5</v>
      </c>
      <c r="D20" s="53">
        <v>5</v>
      </c>
      <c r="E20" s="53">
        <v>12</v>
      </c>
      <c r="F20" s="53">
        <v>7</v>
      </c>
      <c r="G20" s="53">
        <v>10</v>
      </c>
      <c r="H20" s="53">
        <v>16</v>
      </c>
      <c r="I20" s="53">
        <v>7</v>
      </c>
      <c r="J20" s="53">
        <v>0</v>
      </c>
      <c r="K20" s="53">
        <v>2</v>
      </c>
      <c r="L20" s="53">
        <v>5</v>
      </c>
      <c r="M20" s="53">
        <v>5</v>
      </c>
      <c r="N20" s="53">
        <v>4</v>
      </c>
      <c r="O20" s="53">
        <v>78</v>
      </c>
    </row>
    <row r="21" spans="2:15" x14ac:dyDescent="0.35">
      <c r="B21" t="s">
        <v>117</v>
      </c>
      <c r="C21" s="53">
        <v>145</v>
      </c>
      <c r="D21" s="53">
        <v>132</v>
      </c>
      <c r="E21" s="53">
        <v>167</v>
      </c>
      <c r="F21" s="53">
        <v>214</v>
      </c>
      <c r="G21" s="53">
        <v>278</v>
      </c>
      <c r="H21" s="53">
        <v>300</v>
      </c>
      <c r="I21" s="53">
        <v>186</v>
      </c>
      <c r="J21" s="53">
        <v>110</v>
      </c>
      <c r="K21" s="53">
        <v>98</v>
      </c>
      <c r="L21" s="53">
        <v>139</v>
      </c>
      <c r="M21" s="53">
        <v>107</v>
      </c>
      <c r="N21" s="53">
        <v>85</v>
      </c>
      <c r="O21" s="53">
        <v>1961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098E4-99E1-4C08-B3D4-971B56F0B4C3}">
  <sheetPr codeName="Sheet9">
    <tabColor rgb="FF00B0F0"/>
  </sheetPr>
  <dimension ref="B1:H20"/>
  <sheetViews>
    <sheetView zoomScale="120" zoomScaleNormal="120" workbookViewId="0">
      <selection activeCell="B4" sqref="B4"/>
    </sheetView>
  </sheetViews>
  <sheetFormatPr defaultRowHeight="17.25" x14ac:dyDescent="0.35"/>
  <cols>
    <col min="1" max="1" width="3" customWidth="1"/>
    <col min="2" max="2" width="18.125" bestFit="1" customWidth="1"/>
    <col min="3" max="3" width="11.25" bestFit="1" customWidth="1"/>
    <col min="4" max="4" width="16.875" bestFit="1" customWidth="1"/>
    <col min="5" max="5" width="18.875" bestFit="1" customWidth="1"/>
    <col min="6" max="6" width="19.25" bestFit="1" customWidth="1"/>
    <col min="7" max="7" width="19.625" bestFit="1" customWidth="1"/>
  </cols>
  <sheetData>
    <row r="1" spans="2:8" ht="35.25" x14ac:dyDescent="0.5">
      <c r="B1" s="9" t="s">
        <v>61</v>
      </c>
    </row>
    <row r="2" spans="2:8" ht="21.75" x14ac:dyDescent="0.45">
      <c r="B2" s="1" t="s">
        <v>54</v>
      </c>
    </row>
    <row r="4" spans="2:8" x14ac:dyDescent="0.35">
      <c r="B4" s="51" t="s">
        <v>6</v>
      </c>
      <c r="C4" t="s">
        <v>7</v>
      </c>
      <c r="D4" t="s">
        <v>157</v>
      </c>
      <c r="E4" t="s">
        <v>158</v>
      </c>
      <c r="F4" t="s">
        <v>55</v>
      </c>
      <c r="G4" t="s">
        <v>56</v>
      </c>
    </row>
    <row r="5" spans="2:8" x14ac:dyDescent="0.35">
      <c r="B5" t="s">
        <v>150</v>
      </c>
      <c r="C5" s="52">
        <v>32500</v>
      </c>
      <c r="D5" s="55">
        <v>0.06</v>
      </c>
      <c r="E5" s="52">
        <v>668779</v>
      </c>
      <c r="F5" s="52">
        <v>19126.739999999998</v>
      </c>
      <c r="G5" s="52">
        <v>51626.74</v>
      </c>
    </row>
    <row r="6" spans="2:8" x14ac:dyDescent="0.35">
      <c r="B6" t="s">
        <v>141</v>
      </c>
      <c r="C6" s="52">
        <v>50000</v>
      </c>
      <c r="D6" s="55">
        <v>0.05</v>
      </c>
      <c r="E6" s="52">
        <v>1190686</v>
      </c>
      <c r="F6" s="52">
        <v>42034.3</v>
      </c>
      <c r="G6" s="52">
        <v>92034.3</v>
      </c>
    </row>
    <row r="7" spans="2:8" x14ac:dyDescent="0.35">
      <c r="B7" t="s">
        <v>142</v>
      </c>
      <c r="C7" s="52">
        <v>42500</v>
      </c>
      <c r="D7" s="55">
        <v>0.06</v>
      </c>
      <c r="E7" s="52">
        <v>1561140</v>
      </c>
      <c r="F7" s="52">
        <v>72668.399999999994</v>
      </c>
      <c r="G7" s="52">
        <v>115168.4</v>
      </c>
    </row>
    <row r="8" spans="2:8" x14ac:dyDescent="0.35">
      <c r="B8" t="s">
        <v>151</v>
      </c>
      <c r="C8" s="52">
        <v>40000</v>
      </c>
      <c r="D8" s="55">
        <v>0.05</v>
      </c>
      <c r="E8" s="52">
        <v>749874</v>
      </c>
      <c r="F8" s="52">
        <v>19993.7</v>
      </c>
      <c r="G8" s="52">
        <v>59993.7</v>
      </c>
    </row>
    <row r="9" spans="2:8" x14ac:dyDescent="0.35">
      <c r="B9" t="s">
        <v>144</v>
      </c>
      <c r="C9" s="52">
        <v>42500</v>
      </c>
      <c r="D9" s="55">
        <v>0.05</v>
      </c>
      <c r="E9" s="52">
        <v>1450881</v>
      </c>
      <c r="F9" s="52">
        <v>55044.05</v>
      </c>
      <c r="G9" s="52">
        <v>97544.05</v>
      </c>
    </row>
    <row r="10" spans="2:8" x14ac:dyDescent="0.35">
      <c r="B10" t="s">
        <v>152</v>
      </c>
      <c r="C10" s="52">
        <v>45000</v>
      </c>
      <c r="D10" s="55">
        <v>0.06</v>
      </c>
      <c r="E10" s="52">
        <v>898330</v>
      </c>
      <c r="F10" s="52">
        <v>32899.799999999996</v>
      </c>
      <c r="G10" s="52">
        <v>77899.799999999988</v>
      </c>
      <c r="H10" t="s">
        <v>115</v>
      </c>
    </row>
    <row r="11" spans="2:8" x14ac:dyDescent="0.35">
      <c r="B11" t="s">
        <v>143</v>
      </c>
      <c r="C11" s="52">
        <v>35000</v>
      </c>
      <c r="D11" s="55">
        <v>0.06</v>
      </c>
      <c r="E11" s="52">
        <v>1035275</v>
      </c>
      <c r="F11" s="52">
        <v>41116.5</v>
      </c>
      <c r="G11" s="52">
        <v>76116.5</v>
      </c>
    </row>
    <row r="12" spans="2:8" x14ac:dyDescent="0.35">
      <c r="B12" t="s">
        <v>147</v>
      </c>
      <c r="C12" s="52">
        <v>40000</v>
      </c>
      <c r="D12" s="55">
        <v>0.04</v>
      </c>
      <c r="E12" s="52">
        <v>995052</v>
      </c>
      <c r="F12" s="52">
        <v>25802.080000000002</v>
      </c>
      <c r="G12" s="52">
        <v>65802.080000000002</v>
      </c>
    </row>
    <row r="13" spans="2:8" x14ac:dyDescent="0.35">
      <c r="B13" t="s">
        <v>153</v>
      </c>
      <c r="C13" s="52">
        <v>35000</v>
      </c>
      <c r="D13" s="55">
        <v>0.04</v>
      </c>
      <c r="E13" s="52">
        <v>1091075</v>
      </c>
      <c r="F13" s="52">
        <v>29643</v>
      </c>
      <c r="G13" s="52">
        <v>64643</v>
      </c>
    </row>
    <row r="14" spans="2:8" x14ac:dyDescent="0.35">
      <c r="B14" t="s">
        <v>145</v>
      </c>
      <c r="C14" s="52">
        <v>35000</v>
      </c>
      <c r="D14" s="55">
        <v>0.05</v>
      </c>
      <c r="E14" s="52">
        <v>1577753</v>
      </c>
      <c r="F14" s="52">
        <v>61387.65</v>
      </c>
      <c r="G14" s="52">
        <v>96387.65</v>
      </c>
    </row>
    <row r="15" spans="2:8" x14ac:dyDescent="0.35">
      <c r="B15" t="s">
        <v>148</v>
      </c>
      <c r="C15" s="52">
        <v>42500</v>
      </c>
      <c r="D15" s="55">
        <v>0.06</v>
      </c>
      <c r="E15" s="52">
        <v>1028320</v>
      </c>
      <c r="F15" s="52">
        <v>40699.199999999997</v>
      </c>
      <c r="G15" s="52">
        <v>83199.199999999997</v>
      </c>
    </row>
    <row r="16" spans="2:8" x14ac:dyDescent="0.35">
      <c r="B16" t="s">
        <v>149</v>
      </c>
      <c r="C16" s="52">
        <v>42500</v>
      </c>
      <c r="D16" s="55">
        <v>0.05</v>
      </c>
      <c r="E16" s="52">
        <v>2318229</v>
      </c>
      <c r="F16" s="52">
        <v>98411.450000000012</v>
      </c>
      <c r="G16" s="52">
        <v>140911.45000000001</v>
      </c>
    </row>
    <row r="17" spans="2:7" x14ac:dyDescent="0.35">
      <c r="B17" t="s">
        <v>154</v>
      </c>
      <c r="C17" s="52">
        <v>32500</v>
      </c>
      <c r="D17" s="55">
        <v>0.04</v>
      </c>
      <c r="E17" s="52">
        <v>1229540</v>
      </c>
      <c r="F17" s="52">
        <v>35181.599999999999</v>
      </c>
      <c r="G17" s="52">
        <v>67681.600000000006</v>
      </c>
    </row>
    <row r="18" spans="2:7" x14ac:dyDescent="0.35">
      <c r="B18" t="s">
        <v>155</v>
      </c>
      <c r="C18" s="52">
        <v>42500</v>
      </c>
      <c r="D18" s="55">
        <v>0.06</v>
      </c>
      <c r="E18" s="52">
        <v>1921060</v>
      </c>
      <c r="F18" s="52">
        <v>94263.599999999991</v>
      </c>
      <c r="G18" s="52">
        <v>136763.59999999998</v>
      </c>
    </row>
    <row r="19" spans="2:7" x14ac:dyDescent="0.35">
      <c r="B19" t="s">
        <v>146</v>
      </c>
      <c r="C19" s="52">
        <v>30000</v>
      </c>
      <c r="D19" s="55">
        <v>0.05</v>
      </c>
      <c r="E19" s="52">
        <v>729730</v>
      </c>
      <c r="F19" s="52">
        <v>18986.5</v>
      </c>
      <c r="G19" s="52">
        <v>48986.5</v>
      </c>
    </row>
    <row r="20" spans="2:7" x14ac:dyDescent="0.35">
      <c r="B20" t="s">
        <v>117</v>
      </c>
      <c r="C20" s="52">
        <v>587500</v>
      </c>
      <c r="D20" s="55">
        <v>0.78</v>
      </c>
      <c r="E20" s="52">
        <v>18445724</v>
      </c>
      <c r="F20" s="52">
        <v>10292664.720000001</v>
      </c>
      <c r="G20" s="52">
        <v>10880164.720000001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5B263-22BB-437E-BE6E-E1677DAC0BF1}">
  <sheetPr codeName="Sheet10">
    <tabColor rgb="FF00B0F0"/>
  </sheetPr>
  <dimension ref="B1:D42"/>
  <sheetViews>
    <sheetView zoomScale="120" zoomScaleNormal="120" workbookViewId="0">
      <selection activeCell="E19" sqref="E19"/>
    </sheetView>
  </sheetViews>
  <sheetFormatPr defaultRowHeight="17.25" x14ac:dyDescent="0.35"/>
  <cols>
    <col min="1" max="1" width="3.25" customWidth="1"/>
    <col min="2" max="2" width="18.75" customWidth="1"/>
    <col min="3" max="3" width="13.75" customWidth="1"/>
    <col min="4" max="4" width="32.25" customWidth="1"/>
    <col min="5" max="5" width="68.75" customWidth="1"/>
  </cols>
  <sheetData>
    <row r="1" spans="2:4" ht="35.25" x14ac:dyDescent="0.5">
      <c r="B1" s="9" t="s">
        <v>61</v>
      </c>
    </row>
    <row r="2" spans="2:4" ht="21.75" x14ac:dyDescent="0.45">
      <c r="B2" s="1" t="s">
        <v>28</v>
      </c>
    </row>
    <row r="4" spans="2:4" x14ac:dyDescent="0.35">
      <c r="B4" s="2" t="s">
        <v>41</v>
      </c>
    </row>
    <row r="5" spans="2:4" x14ac:dyDescent="0.35">
      <c r="B5" s="3" t="s">
        <v>20</v>
      </c>
      <c r="C5" s="3" t="s">
        <v>21</v>
      </c>
      <c r="D5" s="3" t="s">
        <v>22</v>
      </c>
    </row>
    <row r="6" spans="2:4" x14ac:dyDescent="0.35">
      <c r="B6" s="4" t="s">
        <v>17</v>
      </c>
      <c r="C6" s="5" t="s">
        <v>23</v>
      </c>
      <c r="D6" s="6" t="s">
        <v>37</v>
      </c>
    </row>
    <row r="7" spans="2:4" x14ac:dyDescent="0.35">
      <c r="B7" s="4" t="s">
        <v>5</v>
      </c>
      <c r="C7" s="5" t="s">
        <v>23</v>
      </c>
      <c r="D7" s="6" t="s">
        <v>42</v>
      </c>
    </row>
    <row r="8" spans="2:4" x14ac:dyDescent="0.35">
      <c r="B8" s="4" t="s">
        <v>6</v>
      </c>
      <c r="C8" s="5" t="s">
        <v>23</v>
      </c>
      <c r="D8" s="6" t="s">
        <v>43</v>
      </c>
    </row>
    <row r="9" spans="2:4" x14ac:dyDescent="0.35">
      <c r="B9" s="4" t="s">
        <v>7</v>
      </c>
      <c r="C9" s="5" t="s">
        <v>27</v>
      </c>
      <c r="D9" s="6" t="s">
        <v>44</v>
      </c>
    </row>
    <row r="10" spans="2:4" ht="34.5" x14ac:dyDescent="0.35">
      <c r="B10" s="4" t="s">
        <v>8</v>
      </c>
      <c r="C10" s="5" t="s">
        <v>27</v>
      </c>
      <c r="D10" s="6" t="s">
        <v>45</v>
      </c>
    </row>
    <row r="11" spans="2:4" x14ac:dyDescent="0.35">
      <c r="B11" s="4" t="s">
        <v>9</v>
      </c>
      <c r="C11" s="5" t="s">
        <v>25</v>
      </c>
      <c r="D11" s="6" t="s">
        <v>46</v>
      </c>
    </row>
    <row r="13" spans="2:4" x14ac:dyDescent="0.35">
      <c r="B13" s="2" t="s">
        <v>29</v>
      </c>
    </row>
    <row r="14" spans="2:4" x14ac:dyDescent="0.35">
      <c r="B14" s="3" t="s">
        <v>20</v>
      </c>
      <c r="C14" s="3" t="s">
        <v>21</v>
      </c>
      <c r="D14" s="3" t="s">
        <v>22</v>
      </c>
    </row>
    <row r="15" spans="2:4" x14ac:dyDescent="0.35">
      <c r="B15" s="4" t="s">
        <v>3</v>
      </c>
      <c r="C15" s="5" t="s">
        <v>23</v>
      </c>
      <c r="D15" s="6" t="s">
        <v>30</v>
      </c>
    </row>
    <row r="16" spans="2:4" x14ac:dyDescent="0.35">
      <c r="B16" s="4" t="s">
        <v>10</v>
      </c>
      <c r="C16" s="5" t="s">
        <v>23</v>
      </c>
      <c r="D16" s="6" t="s">
        <v>31</v>
      </c>
    </row>
    <row r="17" spans="2:4" x14ac:dyDescent="0.35">
      <c r="B17" s="4" t="s">
        <v>11</v>
      </c>
      <c r="C17" s="5" t="s">
        <v>23</v>
      </c>
      <c r="D17" s="6" t="s">
        <v>32</v>
      </c>
    </row>
    <row r="18" spans="2:4" x14ac:dyDescent="0.35">
      <c r="B18" s="4" t="s">
        <v>12</v>
      </c>
      <c r="C18" s="5" t="s">
        <v>23</v>
      </c>
      <c r="D18" s="6" t="s">
        <v>33</v>
      </c>
    </row>
    <row r="19" spans="2:4" x14ac:dyDescent="0.35">
      <c r="B19" s="4" t="s">
        <v>13</v>
      </c>
      <c r="C19" s="5" t="s">
        <v>23</v>
      </c>
      <c r="D19" s="6" t="s">
        <v>13</v>
      </c>
    </row>
    <row r="20" spans="2:4" x14ac:dyDescent="0.35">
      <c r="B20" s="4" t="s">
        <v>14</v>
      </c>
      <c r="C20" s="5" t="s">
        <v>23</v>
      </c>
      <c r="D20" s="6" t="s">
        <v>14</v>
      </c>
    </row>
    <row r="21" spans="2:4" x14ac:dyDescent="0.35">
      <c r="B21" s="4" t="s">
        <v>15</v>
      </c>
      <c r="C21" s="5" t="s">
        <v>23</v>
      </c>
      <c r="D21" s="6" t="s">
        <v>34</v>
      </c>
    </row>
    <row r="22" spans="2:4" x14ac:dyDescent="0.35">
      <c r="B22" s="4" t="s">
        <v>16</v>
      </c>
      <c r="C22" s="5" t="s">
        <v>23</v>
      </c>
      <c r="D22" s="6" t="s">
        <v>24</v>
      </c>
    </row>
    <row r="24" spans="2:4" x14ac:dyDescent="0.35">
      <c r="B24" s="2" t="s">
        <v>47</v>
      </c>
    </row>
    <row r="25" spans="2:4" x14ac:dyDescent="0.35">
      <c r="B25" s="3" t="s">
        <v>20</v>
      </c>
      <c r="C25" s="3" t="s">
        <v>21</v>
      </c>
      <c r="D25" s="3" t="s">
        <v>22</v>
      </c>
    </row>
    <row r="26" spans="2:4" x14ac:dyDescent="0.35">
      <c r="B26" s="4" t="s">
        <v>4</v>
      </c>
      <c r="C26" s="5" t="s">
        <v>26</v>
      </c>
      <c r="D26" s="6" t="s">
        <v>38</v>
      </c>
    </row>
    <row r="27" spans="2:4" x14ac:dyDescent="0.35">
      <c r="B27" s="4" t="s">
        <v>18</v>
      </c>
      <c r="C27" s="5" t="s">
        <v>23</v>
      </c>
      <c r="D27" s="6" t="s">
        <v>48</v>
      </c>
    </row>
    <row r="28" spans="2:4" x14ac:dyDescent="0.35">
      <c r="B28" s="4" t="s">
        <v>19</v>
      </c>
      <c r="C28" s="5" t="s">
        <v>23</v>
      </c>
      <c r="D28" s="6" t="s">
        <v>49</v>
      </c>
    </row>
    <row r="30" spans="2:4" x14ac:dyDescent="0.35">
      <c r="B30" s="2" t="s">
        <v>35</v>
      </c>
    </row>
    <row r="31" spans="2:4" x14ac:dyDescent="0.35">
      <c r="B31" s="3" t="s">
        <v>20</v>
      </c>
      <c r="C31" s="3" t="s">
        <v>21</v>
      </c>
      <c r="D31" s="3" t="s">
        <v>22</v>
      </c>
    </row>
    <row r="32" spans="2:4" x14ac:dyDescent="0.35">
      <c r="B32" s="4" t="s">
        <v>0</v>
      </c>
      <c r="C32" s="5" t="s">
        <v>26</v>
      </c>
      <c r="D32" s="6" t="s">
        <v>36</v>
      </c>
    </row>
    <row r="33" spans="2:4" x14ac:dyDescent="0.35">
      <c r="B33" s="4" t="s">
        <v>17</v>
      </c>
      <c r="C33" s="5" t="s">
        <v>23</v>
      </c>
      <c r="D33" s="6" t="s">
        <v>37</v>
      </c>
    </row>
    <row r="34" spans="2:4" x14ac:dyDescent="0.35">
      <c r="B34" s="4" t="s">
        <v>3</v>
      </c>
      <c r="C34" s="5" t="s">
        <v>23</v>
      </c>
      <c r="D34" s="6" t="s">
        <v>30</v>
      </c>
    </row>
    <row r="35" spans="2:4" x14ac:dyDescent="0.35">
      <c r="B35" s="4" t="s">
        <v>4</v>
      </c>
      <c r="C35" s="5" t="s">
        <v>23</v>
      </c>
      <c r="D35" s="6" t="s">
        <v>38</v>
      </c>
    </row>
    <row r="36" spans="2:4" x14ac:dyDescent="0.35">
      <c r="B36" s="4" t="s">
        <v>1</v>
      </c>
      <c r="C36" s="5" t="s">
        <v>23</v>
      </c>
      <c r="D36" s="6" t="s">
        <v>39</v>
      </c>
    </row>
    <row r="37" spans="2:4" x14ac:dyDescent="0.35">
      <c r="B37" s="4" t="s">
        <v>2</v>
      </c>
      <c r="C37" s="5" t="s">
        <v>27</v>
      </c>
      <c r="D37" s="6" t="s">
        <v>40</v>
      </c>
    </row>
    <row r="39" spans="2:4" x14ac:dyDescent="0.35">
      <c r="B39" s="2" t="s">
        <v>60</v>
      </c>
    </row>
    <row r="40" spans="2:4" x14ac:dyDescent="0.35">
      <c r="B40" s="3" t="s">
        <v>50</v>
      </c>
      <c r="C40" s="3" t="s">
        <v>21</v>
      </c>
      <c r="D40" s="3" t="s">
        <v>22</v>
      </c>
    </row>
    <row r="41" spans="2:4" ht="34.5" x14ac:dyDescent="0.35">
      <c r="B41" s="4" t="s">
        <v>55</v>
      </c>
      <c r="C41" s="5" t="s">
        <v>27</v>
      </c>
      <c r="D41" s="6" t="s">
        <v>58</v>
      </c>
    </row>
    <row r="42" spans="2:4" ht="34.5" x14ac:dyDescent="0.35">
      <c r="B42" s="4" t="s">
        <v>56</v>
      </c>
      <c r="C42" s="5" t="s">
        <v>27</v>
      </c>
      <c r="D42" s="6" t="s">
        <v>59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Props1.xml><?xml version="1.0" encoding="utf-8"?>
<ds:datastoreItem xmlns:ds="http://schemas.openxmlformats.org/officeDocument/2006/customXml" ds:itemID="{B86EE079-2DF1-4E66-9105-0A060EFBDD38}">
  <ds:schemaRefs/>
</ds:datastoreItem>
</file>

<file path=customXml/itemProps2.xml><?xml version="1.0" encoding="utf-8"?>
<ds:datastoreItem xmlns:ds="http://schemas.openxmlformats.org/officeDocument/2006/customXml" ds:itemID="{18E95877-7E0A-491F-99B1-9593BE37FA31}">
  <ds:schemaRefs/>
</ds:datastoreItem>
</file>

<file path=customXml/itemProps3.xml><?xml version="1.0" encoding="utf-8"?>
<ds:datastoreItem xmlns:ds="http://schemas.openxmlformats.org/officeDocument/2006/customXml" ds:itemID="{3CB9EE53-DBC5-459C-9A42-A36E9460AB97}">
  <ds:schemaRefs/>
</ds:datastoreItem>
</file>

<file path=customXml/itemProps4.xml><?xml version="1.0" encoding="utf-8"?>
<ds:datastoreItem xmlns:ds="http://schemas.openxmlformats.org/officeDocument/2006/customXml" ds:itemID="{02AEF0F3-8784-4064-808A-C19E6D9A5247}">
  <ds:schemaRefs/>
</ds:datastoreItem>
</file>

<file path=customXml/itemProps5.xml><?xml version="1.0" encoding="utf-8"?>
<ds:datastoreItem xmlns:ds="http://schemas.openxmlformats.org/officeDocument/2006/customXml" ds:itemID="{05ECCA8B-075F-45D1-AD33-018988F36486}">
  <ds:schemaRefs/>
</ds:datastoreItem>
</file>

<file path=customXml/itemProps6.xml><?xml version="1.0" encoding="utf-8"?>
<ds:datastoreItem xmlns:ds="http://schemas.openxmlformats.org/officeDocument/2006/customXml" ds:itemID="{05658FB0-BAC8-4B5C-AE62-196B5B675BAC}">
  <ds:schemaRefs/>
</ds:datastoreItem>
</file>

<file path=customXml/itemProps7.xml><?xml version="1.0" encoding="utf-8"?>
<ds:datastoreItem xmlns:ds="http://schemas.openxmlformats.org/officeDocument/2006/customXml" ds:itemID="{414CC62E-9393-409F-938E-234E984B05FD}">
  <ds:schemaRefs/>
</ds:datastoreItem>
</file>

<file path=customXml/itemProps8.xml><?xml version="1.0" encoding="utf-8"?>
<ds:datastoreItem xmlns:ds="http://schemas.openxmlformats.org/officeDocument/2006/customXml" ds:itemID="{219B4223-4CAC-4200-A6AA-B252E8F84F27}">
  <ds:schemaRefs/>
</ds:datastoreItem>
</file>

<file path=customXml/itemProps9.xml><?xml version="1.0" encoding="utf-8"?>
<ds:datastoreItem xmlns:ds="http://schemas.openxmlformats.org/officeDocument/2006/customXml" ds:itemID="{03A79057-F986-49EC-A019-880270F2F816}">
  <ds:schemaRefs/>
</ds:datastoreItem>
</file>

<file path=customXml/itemProps10.xml><?xml version="1.0" encoding="utf-8"?>
<ds:datastoreItem xmlns:ds="http://schemas.openxmlformats.org/officeDocument/2006/customXml" ds:itemID="{A1012A3E-9DBA-4162-A405-254E3DE6D477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F9FB2024-FE13-4F7A-A3D1-B6FD9C1B0E70}">
  <ds:schemaRefs/>
</ds:datastoreItem>
</file>

<file path=customXml/itemProps12.xml><?xml version="1.0" encoding="utf-8"?>
<ds:datastoreItem xmlns:ds="http://schemas.openxmlformats.org/officeDocument/2006/customXml" ds:itemID="{B2CC32EC-08E0-4BF3-B9E5-764D1F9AE41F}">
  <ds:schemaRefs/>
</ds:datastoreItem>
</file>

<file path=customXml/itemProps13.xml><?xml version="1.0" encoding="utf-8"?>
<ds:datastoreItem xmlns:ds="http://schemas.openxmlformats.org/officeDocument/2006/customXml" ds:itemID="{4C61A35C-97EC-4CED-8380-DADF81F389D9}">
  <ds:schemaRefs/>
</ds:datastoreItem>
</file>

<file path=customXml/itemProps14.xml><?xml version="1.0" encoding="utf-8"?>
<ds:datastoreItem xmlns:ds="http://schemas.openxmlformats.org/officeDocument/2006/customXml" ds:itemID="{0719ACC3-F563-4493-8AEB-B057BB166771}">
  <ds:schemaRefs/>
</ds:datastoreItem>
</file>

<file path=customXml/itemProps15.xml><?xml version="1.0" encoding="utf-8"?>
<ds:datastoreItem xmlns:ds="http://schemas.openxmlformats.org/officeDocument/2006/customXml" ds:itemID="{8392DE3D-F2D0-4E06-91B0-AF83E0C21759}">
  <ds:schemaRefs/>
</ds:datastoreItem>
</file>

<file path=customXml/itemProps16.xml><?xml version="1.0" encoding="utf-8"?>
<ds:datastoreItem xmlns:ds="http://schemas.openxmlformats.org/officeDocument/2006/customXml" ds:itemID="{FAB53C99-7E4C-458C-8264-3EE790F03FFB}">
  <ds:schemaRefs/>
</ds:datastoreItem>
</file>

<file path=customXml/itemProps17.xml><?xml version="1.0" encoding="utf-8"?>
<ds:datastoreItem xmlns:ds="http://schemas.openxmlformats.org/officeDocument/2006/customXml" ds:itemID="{AB488C79-0BD9-4B31-9124-310D5793C22C}">
  <ds:schemaRefs/>
</ds:datastoreItem>
</file>

<file path=customXml/itemProps18.xml><?xml version="1.0" encoding="utf-8"?>
<ds:datastoreItem xmlns:ds="http://schemas.openxmlformats.org/officeDocument/2006/customXml" ds:itemID="{BA42F9F3-C396-401C-AB1D-5D0814A604E2}">
  <ds:schemaRefs/>
</ds:datastoreItem>
</file>

<file path=customXml/itemProps19.xml><?xml version="1.0" encoding="utf-8"?>
<ds:datastoreItem xmlns:ds="http://schemas.openxmlformats.org/officeDocument/2006/customXml" ds:itemID="{9D62B11D-C92A-40DD-A0F4-34736BAAB02B}">
  <ds:schemaRefs/>
</ds:datastoreItem>
</file>

<file path=customXml/itemProps20.xml><?xml version="1.0" encoding="utf-8"?>
<ds:datastoreItem xmlns:ds="http://schemas.openxmlformats.org/officeDocument/2006/customXml" ds:itemID="{6170D217-316F-4F34-9EB8-5F39CA562E8D}">
  <ds:schemaRefs/>
</ds:datastoreItem>
</file>

<file path=customXml/itemProps21.xml><?xml version="1.0" encoding="utf-8"?>
<ds:datastoreItem xmlns:ds="http://schemas.openxmlformats.org/officeDocument/2006/customXml" ds:itemID="{AD92E4F2-F172-498C-BEE0-565489CEC6D5}">
  <ds:schemaRefs/>
</ds:datastoreItem>
</file>

<file path=customXml/itemProps22.xml><?xml version="1.0" encoding="utf-8"?>
<ds:datastoreItem xmlns:ds="http://schemas.openxmlformats.org/officeDocument/2006/customXml" ds:itemID="{CD8B0886-E137-47CC-A94C-CE7DE62A03BB}">
  <ds:schemaRefs/>
</ds:datastoreItem>
</file>

<file path=customXml/itemProps23.xml><?xml version="1.0" encoding="utf-8"?>
<ds:datastoreItem xmlns:ds="http://schemas.openxmlformats.org/officeDocument/2006/customXml" ds:itemID="{86A9EFCE-1E22-4B29-AABD-C4CBAA91918B}">
  <ds:schemaRefs/>
</ds:datastoreItem>
</file>

<file path=customXml/itemProps24.xml><?xml version="1.0" encoding="utf-8"?>
<ds:datastoreItem xmlns:ds="http://schemas.openxmlformats.org/officeDocument/2006/customXml" ds:itemID="{FBA8C035-FED1-42FF-9A69-7FADE36868C8}">
  <ds:schemaRefs/>
</ds:datastoreItem>
</file>

<file path=customXml/itemProps25.xml><?xml version="1.0" encoding="utf-8"?>
<ds:datastoreItem xmlns:ds="http://schemas.openxmlformats.org/officeDocument/2006/customXml" ds:itemID="{572C7264-DA7E-4E31-B17B-0175C43FD13E}">
  <ds:schemaRefs/>
</ds:datastoreItem>
</file>

<file path=customXml/itemProps26.xml><?xml version="1.0" encoding="utf-8"?>
<ds:datastoreItem xmlns:ds="http://schemas.openxmlformats.org/officeDocument/2006/customXml" ds:itemID="{20BE5EB6-4757-4FC7-84F9-1E08252A93D1}">
  <ds:schemaRefs/>
</ds:datastoreItem>
</file>

<file path=customXml/itemProps27.xml><?xml version="1.0" encoding="utf-8"?>
<ds:datastoreItem xmlns:ds="http://schemas.openxmlformats.org/officeDocument/2006/customXml" ds:itemID="{277B2E32-857A-4EA7-B685-92495A9CC7C5}">
  <ds:schemaRefs/>
</ds:datastoreItem>
</file>

<file path=customXml/itemProps28.xml><?xml version="1.0" encoding="utf-8"?>
<ds:datastoreItem xmlns:ds="http://schemas.openxmlformats.org/officeDocument/2006/customXml" ds:itemID="{44D2B741-2471-46FE-995D-54CA4C1B0DD5}">
  <ds:schemaRefs/>
</ds:datastoreItem>
</file>

<file path=customXml/itemProps29.xml><?xml version="1.0" encoding="utf-8"?>
<ds:datastoreItem xmlns:ds="http://schemas.openxmlformats.org/officeDocument/2006/customXml" ds:itemID="{A6ADE8F1-87BD-45B9-AA77-74673227A04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Part 1-&gt;</vt:lpstr>
      <vt:lpstr>Driving Form</vt:lpstr>
      <vt:lpstr>Driving Itinerary</vt:lpstr>
      <vt:lpstr>Distance Table</vt:lpstr>
      <vt:lpstr>Part 2-&gt;</vt:lpstr>
      <vt:lpstr>Revenue Report</vt:lpstr>
      <vt:lpstr>Region Report</vt:lpstr>
      <vt:lpstr>Hospital Sales</vt:lpstr>
      <vt:lpstr>Sales Commissions</vt:lpstr>
      <vt:lpstr>Tables and Measures</vt:lpstr>
      <vt:lpstr>cities</vt:lpstr>
      <vt:lpstr>dist</vt:lpstr>
      <vt:lpstr>distance_table</vt:lpstr>
      <vt:lpstr>travel_end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NP Excel Module 11, Case Problem 1</dc:title>
  <dc:creator>Your Name</dc:creator>
  <cp:lastModifiedBy>Thilak Addagatla</cp:lastModifiedBy>
  <cp:lastPrinted>2022-12-12T17:39:54Z</cp:lastPrinted>
  <dcterms:created xsi:type="dcterms:W3CDTF">2019-02-25T23:49:46Z</dcterms:created>
  <dcterms:modified xsi:type="dcterms:W3CDTF">2022-12-13T02:33:06Z</dcterms:modified>
</cp:coreProperties>
</file>